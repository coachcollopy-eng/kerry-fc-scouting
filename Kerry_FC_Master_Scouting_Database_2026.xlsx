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ter Backs" sheetId="1" state="visible" r:id="rId1"/>
    <sheet xmlns:r="http://schemas.openxmlformats.org/officeDocument/2006/relationships" name="Left Backs" sheetId="2" state="visible" r:id="rId2"/>
    <sheet xmlns:r="http://schemas.openxmlformats.org/officeDocument/2006/relationships" name="Central Midfielders" sheetId="3" state="visible" r:id="rId3"/>
    <sheet xmlns:r="http://schemas.openxmlformats.org/officeDocument/2006/relationships" name="Wingers" sheetId="4" state="visible" r:id="rId4"/>
    <sheet xmlns:r="http://schemas.openxmlformats.org/officeDocument/2006/relationships" name="Center Forwards" sheetId="5" state="visible" r:id="rId5"/>
    <sheet xmlns:r="http://schemas.openxmlformats.org/officeDocument/2006/relationships" name="Goalkeep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right"/>
    </xf>
    <xf numFmtId="4" fontId="4" fillId="3" borderId="1" applyAlignment="1" pivotButton="0" quotePrefix="0" xfId="0">
      <alignment horizontal="right"/>
    </xf>
    <xf numFmtId="4" fontId="5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5"/>
  <cols>
    <col width="115" customWidth="1" min="1" max="1"/>
    <col width="18" customWidth="1" min="2" max="2"/>
    <col width="17" customWidth="1" min="3" max="3"/>
    <col width="12" customWidth="1" min="4" max="4"/>
    <col width="20" customWidth="1" min="5" max="5"/>
    <col width="18" customWidth="1" min="6" max="6"/>
    <col width="12" customWidth="1" min="7" max="7"/>
    <col width="39" customWidth="1" min="8" max="8"/>
    <col width="26" customWidth="1" min="9" max="9"/>
    <col width="26" customWidth="1" min="10" max="10"/>
    <col width="23" customWidth="1" min="11" max="11"/>
    <col width="23" customWidth="1" min="12" max="12"/>
    <col width="24" customWidth="1" min="13" max="13"/>
    <col width="24" customWidth="1" min="14" max="14"/>
    <col width="22" customWidth="1" min="15" max="15"/>
    <col width="16" customWidth="1" min="16" max="16"/>
    <col width="14" customWidth="1" min="17" max="17"/>
    <col width="22" customWidth="1" min="18" max="18"/>
    <col width="25" customWidth="1" min="19" max="19"/>
    <col width="30" customWidth="1" min="20" max="20"/>
    <col width="27" customWidth="1" min="21" max="21"/>
    <col width="29" customWidth="1" min="22" max="22"/>
    <col width="34" customWidth="1" min="23" max="23"/>
    <col width="67" customWidth="1" min="24" max="24"/>
  </cols>
  <sheetData>
    <row r="1">
      <c r="A1" s="1" t="inlineStr">
        <is>
          <t>Kerry FC Scouting Database - Center Backs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Contract expires</t>
        </is>
      </c>
      <c r="F3" s="3" t="inlineStr">
        <is>
          <t>Minutes played</t>
        </is>
      </c>
      <c r="G3" s="3" t="inlineStr">
        <is>
          <t>Height</t>
        </is>
      </c>
      <c r="H3" s="3" t="inlineStr">
        <is>
          <t>Successful defensive actions per 90</t>
        </is>
      </c>
      <c r="I3" s="3" t="inlineStr">
        <is>
          <t>Defensive duels per 90</t>
        </is>
      </c>
      <c r="J3" s="3" t="inlineStr">
        <is>
          <t>Defensive duels won, %</t>
        </is>
      </c>
      <c r="K3" s="3" t="inlineStr">
        <is>
          <t>Aerial duels per 90</t>
        </is>
      </c>
      <c r="L3" s="3" t="inlineStr">
        <is>
          <t>Aerial duels won, %</t>
        </is>
      </c>
      <c r="M3" s="3" t="inlineStr">
        <is>
          <t>Shots blocked per 90</t>
        </is>
      </c>
      <c r="N3" s="3" t="inlineStr">
        <is>
          <t>Interceptions per 90</t>
        </is>
      </c>
      <c r="O3" s="3" t="inlineStr">
        <is>
          <t>PAdj Interceptions</t>
        </is>
      </c>
      <c r="P3" s="3" t="inlineStr">
        <is>
          <t>Fouls per 90</t>
        </is>
      </c>
      <c r="Q3" s="3" t="inlineStr">
        <is>
          <t>Head goals</t>
        </is>
      </c>
      <c r="R3" s="3" t="inlineStr">
        <is>
          <t>Accurate passes, %</t>
        </is>
      </c>
      <c r="S3" s="3" t="inlineStr">
        <is>
          <t>Forward passes per 90</t>
        </is>
      </c>
      <c r="T3" s="3" t="inlineStr">
        <is>
          <t>Accurate forward passes, %</t>
        </is>
      </c>
      <c r="U3" s="3" t="inlineStr">
        <is>
          <t>Accurate long passes, %</t>
        </is>
      </c>
      <c r="V3" s="3" t="inlineStr">
        <is>
          <t>Progressive passes per 90</t>
        </is>
      </c>
      <c r="W3" s="3" t="inlineStr">
        <is>
          <t>Accurate progressive passes, %</t>
        </is>
      </c>
      <c r="X3" s="3" t="inlineStr">
        <is>
          <t>Composite Score</t>
        </is>
      </c>
    </row>
    <row r="4" ht="20" customHeight="1">
      <c r="A4" s="4" t="inlineStr">
        <is>
          <t>D. Hand</t>
        </is>
      </c>
      <c r="B4" s="4" t="inlineStr">
        <is>
          <t>Lucan United</t>
        </is>
      </c>
      <c r="C4" s="4" t="inlineStr">
        <is>
          <t>LCB, RCB</t>
        </is>
      </c>
      <c r="D4" s="5" t="n">
        <v>27</v>
      </c>
      <c r="E4" s="4" t="inlineStr">
        <is>
          <t>2026-11-30</t>
        </is>
      </c>
      <c r="F4" s="5" t="n">
        <v>5911</v>
      </c>
      <c r="G4" s="5" t="n">
        <v>184</v>
      </c>
      <c r="H4" s="6" t="n">
        <v>11.3</v>
      </c>
      <c r="I4" s="6" t="n">
        <v>8.5</v>
      </c>
      <c r="J4" s="6" t="n">
        <v>74.89</v>
      </c>
      <c r="K4" s="6" t="n">
        <v>4.2</v>
      </c>
      <c r="L4" s="6" t="n">
        <v>68.5</v>
      </c>
      <c r="M4" s="6" t="n">
        <v>1.2</v>
      </c>
      <c r="N4" s="6" t="n">
        <v>5.4</v>
      </c>
      <c r="O4" s="6" t="n">
        <v>5.1</v>
      </c>
      <c r="P4" s="6" t="n">
        <v>1.1</v>
      </c>
      <c r="Q4" s="5" t="n">
        <v>2</v>
      </c>
      <c r="R4" s="6" t="n">
        <v>84.5</v>
      </c>
      <c r="S4" s="6" t="n">
        <v>12.1</v>
      </c>
      <c r="T4" s="6" t="n">
        <v>80.2</v>
      </c>
      <c r="U4" s="6" t="n">
        <v>75</v>
      </c>
      <c r="V4" s="6" t="n">
        <v>6.8</v>
      </c>
      <c r="W4" s="6" t="n">
        <v>78.3</v>
      </c>
      <c r="X4" s="7">
        <f>ROUND((J4*0.25)+(L4*0.25)+(R4*0.20)+(H4*1.5)+(V4*1.5), 2)</f>
        <v/>
      </c>
    </row>
    <row r="5" ht="20" customHeight="1">
      <c r="A5" s="8" t="inlineStr">
        <is>
          <t>J. Duggan</t>
        </is>
      </c>
      <c r="B5" s="8" t="inlineStr">
        <is>
          <t>Bray Wanderers</t>
        </is>
      </c>
      <c r="C5" s="8" t="inlineStr">
        <is>
          <t>RB, LCB</t>
        </is>
      </c>
      <c r="D5" s="9" t="n">
        <v>22</v>
      </c>
      <c r="E5" s="8" t="inlineStr">
        <is>
          <t>2026-11-30</t>
        </is>
      </c>
      <c r="F5" s="9" t="n">
        <v>5368</v>
      </c>
      <c r="G5" s="9" t="n">
        <v>182</v>
      </c>
      <c r="H5" s="10" t="n">
        <v>11.7</v>
      </c>
      <c r="I5" s="10" t="n">
        <v>9.1</v>
      </c>
      <c r="J5" s="10" t="n">
        <v>66.67</v>
      </c>
      <c r="K5" s="10" t="n">
        <v>4.8</v>
      </c>
      <c r="L5" s="10" t="n">
        <v>64.89</v>
      </c>
      <c r="M5" s="10" t="n">
        <v>1.4</v>
      </c>
      <c r="N5" s="10" t="n">
        <v>5.8</v>
      </c>
      <c r="O5" s="10" t="n">
        <v>5.5</v>
      </c>
      <c r="P5" s="10" t="n">
        <v>1.3</v>
      </c>
      <c r="Q5" s="9" t="n">
        <v>1</v>
      </c>
      <c r="R5" s="10" t="n">
        <v>82.09999999999999</v>
      </c>
      <c r="S5" s="10" t="n">
        <v>11.5</v>
      </c>
      <c r="T5" s="10" t="n">
        <v>78.40000000000001</v>
      </c>
      <c r="U5" s="10" t="n">
        <v>72.09999999999999</v>
      </c>
      <c r="V5" s="10" t="n">
        <v>7.1</v>
      </c>
      <c r="W5" s="10" t="n">
        <v>76.5</v>
      </c>
      <c r="X5" s="11">
        <f>ROUND((J5*0.25)+(L5*0.25)+(R5*0.20)+(H5*1.5)+(V5*1.5), 2)</f>
        <v/>
      </c>
    </row>
    <row r="6" ht="20" customHeight="1">
      <c r="A6" s="4" t="inlineStr">
        <is>
          <t>R. Lynch</t>
        </is>
      </c>
      <c r="B6" s="4" t="inlineStr">
        <is>
          <t>Treaty United</t>
        </is>
      </c>
      <c r="C6" s="4" t="inlineStr">
        <is>
          <t>RCB, RB, CB</t>
        </is>
      </c>
      <c r="D6" s="5" t="n">
        <v>20</v>
      </c>
      <c r="E6" s="4" t="inlineStr">
        <is>
          <t>None</t>
        </is>
      </c>
      <c r="F6" s="5" t="n">
        <v>5929</v>
      </c>
      <c r="G6" s="5" t="n">
        <v>186</v>
      </c>
      <c r="H6" s="6" t="n">
        <v>9.460000000000001</v>
      </c>
      <c r="I6" s="6" t="n">
        <v>8.199999999999999</v>
      </c>
      <c r="J6" s="6" t="n">
        <v>76.73999999999999</v>
      </c>
      <c r="K6" s="6" t="n">
        <v>4.5</v>
      </c>
      <c r="L6" s="6" t="n">
        <v>67.64</v>
      </c>
      <c r="M6" s="6" t="n">
        <v>1.1</v>
      </c>
      <c r="N6" s="6" t="n">
        <v>5.2</v>
      </c>
      <c r="O6" s="6" t="n">
        <v>5</v>
      </c>
      <c r="P6" s="6" t="n">
        <v>1</v>
      </c>
      <c r="Q6" s="5" t="n">
        <v>3</v>
      </c>
      <c r="R6" s="6" t="n">
        <v>83.2</v>
      </c>
      <c r="S6" s="6" t="n">
        <v>12</v>
      </c>
      <c r="T6" s="6" t="n">
        <v>79.09999999999999</v>
      </c>
      <c r="U6" s="6" t="n">
        <v>74.2</v>
      </c>
      <c r="V6" s="6" t="n">
        <v>6.5</v>
      </c>
      <c r="W6" s="6" t="n">
        <v>77</v>
      </c>
      <c r="X6" s="7">
        <f>ROUND((J6*0.25)+(L6*0.25)+(R6*0.20)+(H6*1.5)+(V6*1.5), 2)</f>
        <v/>
      </c>
    </row>
    <row r="7" ht="20" customHeight="1">
      <c r="A7" s="8" t="inlineStr">
        <is>
          <t>C. Errity</t>
        </is>
      </c>
      <c r="B7" s="8" t="inlineStr">
        <is>
          <t>Longford Town</t>
        </is>
      </c>
      <c r="C7" s="8" t="inlineStr">
        <is>
          <t>LCB3, LCB, LB</t>
        </is>
      </c>
      <c r="D7" s="9" t="n">
        <v>19</v>
      </c>
      <c r="E7" s="8" t="inlineStr">
        <is>
          <t>None</t>
        </is>
      </c>
      <c r="F7" s="9" t="n">
        <v>1154</v>
      </c>
      <c r="G7" s="9" t="n">
        <v>180</v>
      </c>
      <c r="H7" s="10" t="n">
        <v>11.46</v>
      </c>
      <c r="I7" s="10" t="n">
        <v>8.800000000000001</v>
      </c>
      <c r="J7" s="10" t="n">
        <v>77.91</v>
      </c>
      <c r="K7" s="10" t="n">
        <v>4</v>
      </c>
      <c r="L7" s="10" t="n">
        <v>63.2</v>
      </c>
      <c r="M7" s="10" t="n">
        <v>1</v>
      </c>
      <c r="N7" s="10" t="n">
        <v>5.5</v>
      </c>
      <c r="O7" s="10" t="n">
        <v>5.2</v>
      </c>
      <c r="P7" s="10" t="n">
        <v>0.9</v>
      </c>
      <c r="Q7" s="9" t="n">
        <v>1</v>
      </c>
      <c r="R7" s="10" t="n">
        <v>85</v>
      </c>
      <c r="S7" s="10" t="n">
        <v>12.5</v>
      </c>
      <c r="T7" s="10" t="n">
        <v>81</v>
      </c>
      <c r="U7" s="10" t="n">
        <v>76</v>
      </c>
      <c r="V7" s="10" t="n">
        <v>7</v>
      </c>
      <c r="W7" s="10" t="n">
        <v>79</v>
      </c>
      <c r="X7" s="11">
        <f>ROUND((J7*0.25)+(L7*0.25)+(R7*0.20)+(H7*1.5)+(V7*1.5), 2)</f>
        <v/>
      </c>
    </row>
    <row r="8" ht="20" customHeight="1">
      <c r="A8" s="4" t="inlineStr">
        <is>
          <t>D. Osagie</t>
        </is>
      </c>
      <c r="B8" s="4" t="inlineStr">
        <is>
          <t>Bray Wanderers</t>
        </is>
      </c>
      <c r="C8" s="4" t="inlineStr">
        <is>
          <t>RCB</t>
        </is>
      </c>
      <c r="D8" s="5" t="n">
        <v>20</v>
      </c>
      <c r="E8" s="4" t="inlineStr">
        <is>
          <t>None</t>
        </is>
      </c>
      <c r="F8" s="5" t="n">
        <v>4680</v>
      </c>
      <c r="G8" s="5" t="n">
        <v>185</v>
      </c>
      <c r="H8" s="6" t="n">
        <v>9.619999999999999</v>
      </c>
      <c r="I8" s="6" t="n">
        <v>7.5</v>
      </c>
      <c r="J8" s="6" t="n">
        <v>69.5</v>
      </c>
      <c r="K8" s="6" t="n">
        <v>4.3</v>
      </c>
      <c r="L8" s="6" t="n">
        <v>65.89</v>
      </c>
      <c r="M8" s="6" t="n">
        <v>1.3</v>
      </c>
      <c r="N8" s="6" t="n">
        <v>6</v>
      </c>
      <c r="O8" s="6" t="n">
        <v>5.8</v>
      </c>
      <c r="P8" s="6" t="n">
        <v>0.8</v>
      </c>
      <c r="Q8" s="5" t="n">
        <v>2</v>
      </c>
      <c r="R8" s="6" t="n">
        <v>85.18000000000001</v>
      </c>
      <c r="S8" s="6" t="n">
        <v>13</v>
      </c>
      <c r="T8" s="6" t="n">
        <v>82.5</v>
      </c>
      <c r="U8" s="6" t="n">
        <v>78</v>
      </c>
      <c r="V8" s="6" t="n">
        <v>7.5</v>
      </c>
      <c r="W8" s="6" t="n">
        <v>80</v>
      </c>
      <c r="X8" s="7">
        <f>ROUND((J8*0.25)+(L8*0.25)+(R8*0.20)+(H8*1.5)+(V8*1.5), 2)</f>
        <v/>
      </c>
    </row>
    <row r="9" ht="20" customHeight="1">
      <c r="A9" s="8" t="inlineStr">
        <is>
          <t>D. Nwankwo</t>
        </is>
      </c>
      <c r="B9" s="8" t="inlineStr">
        <is>
          <t>Treaty United</t>
        </is>
      </c>
      <c r="C9" s="8" t="inlineStr">
        <is>
          <t>LCB, RCB3</t>
        </is>
      </c>
      <c r="D9" s="9" t="n">
        <v>23</v>
      </c>
      <c r="E9" s="8" t="inlineStr">
        <is>
          <t>2026-11-30</t>
        </is>
      </c>
      <c r="F9" s="9" t="n">
        <v>1976</v>
      </c>
      <c r="G9" s="9" t="n">
        <v>183</v>
      </c>
      <c r="H9" s="10" t="n">
        <v>10.2</v>
      </c>
      <c r="I9" s="10" t="n">
        <v>7.8</v>
      </c>
      <c r="J9" s="10" t="n">
        <v>68.2</v>
      </c>
      <c r="K9" s="10" t="n">
        <v>3.9</v>
      </c>
      <c r="L9" s="10" t="n">
        <v>62.5</v>
      </c>
      <c r="M9" s="10" t="n">
        <v>1.15</v>
      </c>
      <c r="N9" s="10" t="n">
        <v>7.83</v>
      </c>
      <c r="O9" s="10" t="n">
        <v>7.1</v>
      </c>
      <c r="P9" s="10" t="n">
        <v>1.05</v>
      </c>
      <c r="Q9" s="9" t="n">
        <v>1</v>
      </c>
      <c r="R9" s="10" t="n">
        <v>80.31</v>
      </c>
      <c r="S9" s="10" t="n">
        <v>11.2</v>
      </c>
      <c r="T9" s="10" t="n">
        <v>76.5</v>
      </c>
      <c r="U9" s="10" t="n">
        <v>71</v>
      </c>
      <c r="V9" s="10" t="n">
        <v>6.2</v>
      </c>
      <c r="W9" s="10" t="n">
        <v>74</v>
      </c>
      <c r="X9" s="11">
        <f>ROUND((J9*0.25)+(L9*0.25)+(R9*0.20)+(H9*1.5)+(V9*1.5), 2)</f>
        <v/>
      </c>
    </row>
    <row r="10" ht="20" customHeight="1">
      <c r="A10" s="4" t="inlineStr">
        <is>
          <t>C. Coleman</t>
        </is>
      </c>
      <c r="B10" s="4" t="inlineStr">
        <is>
          <t>Cobh Ramblers</t>
        </is>
      </c>
      <c r="C10" s="4" t="inlineStr">
        <is>
          <t>RCB, CB</t>
        </is>
      </c>
      <c r="D10" s="5" t="n">
        <v>29</v>
      </c>
      <c r="E10" s="4" t="inlineStr">
        <is>
          <t>2026-11-30</t>
        </is>
      </c>
      <c r="F10" s="5" t="n">
        <v>4850</v>
      </c>
      <c r="G10" s="5" t="n">
        <v>187</v>
      </c>
      <c r="H10" s="6" t="n">
        <v>9.779999999999999</v>
      </c>
      <c r="I10" s="6" t="n">
        <v>7.9</v>
      </c>
      <c r="J10" s="6" t="n">
        <v>69.59999999999999</v>
      </c>
      <c r="K10" s="6" t="n">
        <v>4.1</v>
      </c>
      <c r="L10" s="6" t="n">
        <v>64</v>
      </c>
      <c r="M10" s="6" t="n">
        <v>1.25</v>
      </c>
      <c r="N10" s="6" t="n">
        <v>5.1</v>
      </c>
      <c r="O10" s="6" t="n">
        <v>4.8</v>
      </c>
      <c r="P10" s="6" t="n">
        <v>1.1</v>
      </c>
      <c r="Q10" s="5" t="n">
        <v>2</v>
      </c>
      <c r="R10" s="6" t="n">
        <v>79.5</v>
      </c>
      <c r="S10" s="6" t="n">
        <v>10.9</v>
      </c>
      <c r="T10" s="6" t="n">
        <v>75</v>
      </c>
      <c r="U10" s="6" t="n">
        <v>70</v>
      </c>
      <c r="V10" s="6" t="n">
        <v>5.9</v>
      </c>
      <c r="W10" s="6" t="n">
        <v>72.5</v>
      </c>
      <c r="X10" s="7">
        <f>ROUND((J10*0.25)+(L10*0.25)+(R10*0.20)+(H10*1.5)+(V10*1.5), 2)</f>
        <v/>
      </c>
    </row>
    <row r="11" ht="20" customHeight="1">
      <c r="A11" s="8" t="inlineStr">
        <is>
          <t>É. Clancy</t>
        </is>
      </c>
      <c r="B11" s="8" t="inlineStr">
        <is>
          <t>VVV Venlo</t>
        </is>
      </c>
      <c r="C11" s="8" t="inlineStr">
        <is>
          <t>RCB, LCB</t>
        </is>
      </c>
      <c r="D11" s="9" t="n">
        <v>22</v>
      </c>
      <c r="E11" s="8" t="inlineStr">
        <is>
          <t>2028-06-30</t>
        </is>
      </c>
      <c r="F11" s="9" t="n">
        <v>4921</v>
      </c>
      <c r="G11" s="9" t="n">
        <v>185</v>
      </c>
      <c r="H11" s="10" t="n">
        <v>8.76</v>
      </c>
      <c r="I11" s="10" t="n">
        <v>6.8</v>
      </c>
      <c r="J11" s="10" t="n">
        <v>65.91</v>
      </c>
      <c r="K11" s="10" t="n">
        <v>3.5</v>
      </c>
      <c r="L11" s="10" t="n">
        <v>60.1</v>
      </c>
      <c r="M11" s="10" t="n">
        <v>0.95</v>
      </c>
      <c r="N11" s="10" t="n">
        <v>4.8</v>
      </c>
      <c r="O11" s="10" t="n">
        <v>4.5</v>
      </c>
      <c r="P11" s="10" t="n">
        <v>0.9</v>
      </c>
      <c r="Q11" s="9" t="n">
        <v>0</v>
      </c>
      <c r="R11" s="10" t="n">
        <v>82.91</v>
      </c>
      <c r="S11" s="10" t="n">
        <v>11.8</v>
      </c>
      <c r="T11" s="10" t="n">
        <v>78</v>
      </c>
      <c r="U11" s="10" t="n">
        <v>73</v>
      </c>
      <c r="V11" s="10" t="n">
        <v>6.4</v>
      </c>
      <c r="W11" s="10" t="n">
        <v>75</v>
      </c>
      <c r="X11" s="11">
        <f>ROUND((J11*0.25)+(L11*0.25)+(R11*0.20)+(H11*1.5)+(V11*1.5), 2)</f>
        <v/>
      </c>
    </row>
    <row r="12" ht="20" customHeight="1">
      <c r="A12" s="4" t="inlineStr">
        <is>
          <t>J. Bradley-Walsh</t>
        </is>
      </c>
      <c r="B12" s="4" t="inlineStr">
        <is>
          <t>Finn Harps</t>
        </is>
      </c>
      <c r="C12" s="4" t="inlineStr">
        <is>
          <t>LCB, LCB3</t>
        </is>
      </c>
      <c r="D12" s="5" t="n">
        <v>24</v>
      </c>
      <c r="E12" s="4" t="inlineStr">
        <is>
          <t>2026-11-30</t>
        </is>
      </c>
      <c r="F12" s="5" t="n">
        <v>5265</v>
      </c>
      <c r="G12" s="5" t="n">
        <v>186</v>
      </c>
      <c r="H12" s="6" t="n">
        <v>9.1</v>
      </c>
      <c r="I12" s="6" t="n">
        <v>7.2</v>
      </c>
      <c r="J12" s="6" t="n">
        <v>64.5</v>
      </c>
      <c r="K12" s="6" t="n">
        <v>4.4</v>
      </c>
      <c r="L12" s="6" t="n">
        <v>68.06999999999999</v>
      </c>
      <c r="M12" s="6" t="n">
        <v>1.1</v>
      </c>
      <c r="N12" s="6" t="n">
        <v>6.63</v>
      </c>
      <c r="O12" s="6" t="n">
        <v>6.2</v>
      </c>
      <c r="P12" s="6" t="n">
        <v>1.15</v>
      </c>
      <c r="Q12" s="5" t="n">
        <v>2</v>
      </c>
      <c r="R12" s="6" t="n">
        <v>78.2</v>
      </c>
      <c r="S12" s="6" t="n">
        <v>10.5</v>
      </c>
      <c r="T12" s="6" t="n">
        <v>74</v>
      </c>
      <c r="U12" s="6" t="n">
        <v>68.5</v>
      </c>
      <c r="V12" s="6" t="n">
        <v>5.5</v>
      </c>
      <c r="W12" s="6" t="n">
        <v>70</v>
      </c>
      <c r="X12" s="7">
        <f>ROUND((J12*0.25)+(L12*0.25)+(R12*0.20)+(H12*1.5)+(V12*1.5), 2)</f>
        <v/>
      </c>
    </row>
    <row r="13" ht="20" customHeight="1">
      <c r="A13" s="8" t="inlineStr">
        <is>
          <t>C. Lyons</t>
        </is>
      </c>
      <c r="B13" s="8" t="inlineStr">
        <is>
          <t>Cork City</t>
        </is>
      </c>
      <c r="C13" s="8" t="inlineStr">
        <is>
          <t>LCB, LCB3</t>
        </is>
      </c>
      <c r="D13" s="9" t="n">
        <v>26</v>
      </c>
      <c r="E13" s="8" t="inlineStr">
        <is>
          <t>2026-11-30</t>
        </is>
      </c>
      <c r="F13" s="9" t="n">
        <v>4917</v>
      </c>
      <c r="G13" s="9" t="n">
        <v>188</v>
      </c>
      <c r="H13" s="10" t="n">
        <v>8.73</v>
      </c>
      <c r="I13" s="10" t="n">
        <v>6.5</v>
      </c>
      <c r="J13" s="10" t="n">
        <v>63.8</v>
      </c>
      <c r="K13" s="10" t="n">
        <v>3.6</v>
      </c>
      <c r="L13" s="10" t="n">
        <v>59.5</v>
      </c>
      <c r="M13" s="10" t="n">
        <v>1</v>
      </c>
      <c r="N13" s="10" t="n">
        <v>4.6</v>
      </c>
      <c r="O13" s="10" t="n">
        <v>4.3</v>
      </c>
      <c r="P13" s="10" t="n">
        <v>0.85</v>
      </c>
      <c r="Q13" s="9" t="n">
        <v>1</v>
      </c>
      <c r="R13" s="10" t="n">
        <v>81.19</v>
      </c>
      <c r="S13" s="10" t="n">
        <v>11.4</v>
      </c>
      <c r="T13" s="10" t="n">
        <v>77</v>
      </c>
      <c r="U13" s="10" t="n">
        <v>72</v>
      </c>
      <c r="V13" s="10" t="n">
        <v>6</v>
      </c>
      <c r="W13" s="10" t="n">
        <v>73.5</v>
      </c>
      <c r="X13" s="11">
        <f>ROUND((J13*0.25)+(L13*0.25)+(R13*0.20)+(H13*1.5)+(V13*1.5), 2)</f>
        <v/>
      </c>
    </row>
    <row r="14" ht="20" customHeight="1">
      <c r="A14" s="4" t="inlineStr">
        <is>
          <t>N. Brookwell</t>
        </is>
      </c>
      <c r="B14" s="4" t="inlineStr">
        <is>
          <t>Kerry</t>
        </is>
      </c>
      <c r="C14" s="4" t="inlineStr">
        <is>
          <t>RCB, CB, LCB</t>
        </is>
      </c>
      <c r="D14" s="5" t="n">
        <v>24</v>
      </c>
      <c r="E14" s="4" t="inlineStr">
        <is>
          <t>2026-11-30</t>
        </is>
      </c>
      <c r="F14" s="5" t="n">
        <v>6862</v>
      </c>
      <c r="G14" s="5" t="n">
        <v>184</v>
      </c>
      <c r="H14" s="6" t="n">
        <v>8.5</v>
      </c>
      <c r="I14" s="6" t="n">
        <v>6.4</v>
      </c>
      <c r="J14" s="6" t="n">
        <v>62.5</v>
      </c>
      <c r="K14" s="6" t="n">
        <v>3.8</v>
      </c>
      <c r="L14" s="6" t="n">
        <v>61.2</v>
      </c>
      <c r="M14" s="6" t="n">
        <v>0.9</v>
      </c>
      <c r="N14" s="6" t="n">
        <v>4.5</v>
      </c>
      <c r="O14" s="6" t="n">
        <v>4.2</v>
      </c>
      <c r="P14" s="6" t="n">
        <v>1.2</v>
      </c>
      <c r="Q14" s="5" t="n">
        <v>1</v>
      </c>
      <c r="R14" s="6" t="n">
        <v>78.5</v>
      </c>
      <c r="S14" s="6" t="n">
        <v>10.2</v>
      </c>
      <c r="T14" s="6" t="n">
        <v>74.5</v>
      </c>
      <c r="U14" s="6" t="n">
        <v>69</v>
      </c>
      <c r="V14" s="6" t="n">
        <v>5.4</v>
      </c>
      <c r="W14" s="6" t="n">
        <v>71</v>
      </c>
      <c r="X14" s="7">
        <f>ROUND((J14*0.25)+(L14*0.25)+(R14*0.20)+(H14*1.5)+(V14*1.5), 2)</f>
        <v/>
      </c>
    </row>
    <row r="15" ht="20" customHeight="1">
      <c r="A15" s="8" t="inlineStr">
        <is>
          <t>H. Warren</t>
        </is>
      </c>
      <c r="B15" s="8" t="inlineStr">
        <is>
          <t>Dundalk</t>
        </is>
      </c>
      <c r="C15" s="8" t="inlineStr">
        <is>
          <t>LCB, RCB, RB</t>
        </is>
      </c>
      <c r="D15" s="9" t="n">
        <v>22</v>
      </c>
      <c r="E15" s="8" t="inlineStr">
        <is>
          <t>2026-11-30</t>
        </is>
      </c>
      <c r="F15" s="9" t="n">
        <v>3324</v>
      </c>
      <c r="G15" s="9" t="n">
        <v>183</v>
      </c>
      <c r="H15" s="10" t="n">
        <v>8.4</v>
      </c>
      <c r="I15" s="10" t="n">
        <v>6.3</v>
      </c>
      <c r="J15" s="10" t="n">
        <v>61.8</v>
      </c>
      <c r="K15" s="10" t="n">
        <v>3.5</v>
      </c>
      <c r="L15" s="10" t="n">
        <v>58.9</v>
      </c>
      <c r="M15" s="10" t="n">
        <v>0.85</v>
      </c>
      <c r="N15" s="10" t="n">
        <v>4.3</v>
      </c>
      <c r="O15" s="10" t="n">
        <v>4</v>
      </c>
      <c r="P15" s="10" t="n">
        <v>1</v>
      </c>
      <c r="Q15" s="9" t="n">
        <v>0</v>
      </c>
      <c r="R15" s="10" t="n">
        <v>80</v>
      </c>
      <c r="S15" s="10" t="n">
        <v>10.8</v>
      </c>
      <c r="T15" s="10" t="n">
        <v>75.5</v>
      </c>
      <c r="U15" s="10" t="n">
        <v>70.5</v>
      </c>
      <c r="V15" s="10" t="n">
        <v>5.8</v>
      </c>
      <c r="W15" s="10" t="n">
        <v>72</v>
      </c>
      <c r="X15" s="11">
        <f>ROUND((J15*0.25)+(L15*0.25)+(R15*0.20)+(H15*1.5)+(V15*1.5), 2)</f>
        <v/>
      </c>
    </row>
    <row r="16" ht="20" customHeight="1">
      <c r="A16" s="4" t="inlineStr">
        <is>
          <t>E. O’Connor</t>
        </is>
      </c>
      <c r="B16" s="4" t="inlineStr">
        <is>
          <t>Athlone Town</t>
        </is>
      </c>
      <c r="C16" s="4" t="inlineStr">
        <is>
          <t>RB, LCB, RCB</t>
        </is>
      </c>
      <c r="D16" s="5" t="n">
        <v>25</v>
      </c>
      <c r="E16" s="4" t="inlineStr">
        <is>
          <t>2026-11-30</t>
        </is>
      </c>
      <c r="F16" s="5" t="n">
        <v>6547</v>
      </c>
      <c r="G16" s="5" t="n">
        <v>182</v>
      </c>
      <c r="H16" s="6" t="n">
        <v>8.300000000000001</v>
      </c>
      <c r="I16" s="6" t="n">
        <v>6.2</v>
      </c>
      <c r="J16" s="6" t="n">
        <v>60.9</v>
      </c>
      <c r="K16" s="6" t="n">
        <v>3.9</v>
      </c>
      <c r="L16" s="6" t="n">
        <v>62</v>
      </c>
      <c r="M16" s="6" t="n">
        <v>0.8</v>
      </c>
      <c r="N16" s="6" t="n">
        <v>4.2</v>
      </c>
      <c r="O16" s="6" t="n">
        <v>3.9</v>
      </c>
      <c r="P16" s="6" t="n">
        <v>1.3</v>
      </c>
      <c r="Q16" s="5" t="n">
        <v>1</v>
      </c>
      <c r="R16" s="6" t="n">
        <v>77.8</v>
      </c>
      <c r="S16" s="6" t="n">
        <v>10</v>
      </c>
      <c r="T16" s="6" t="n">
        <v>73</v>
      </c>
      <c r="U16" s="6" t="n">
        <v>67.5</v>
      </c>
      <c r="V16" s="6" t="n">
        <v>5.2</v>
      </c>
      <c r="W16" s="6" t="n">
        <v>69.5</v>
      </c>
      <c r="X16" s="7">
        <f>ROUND((J16*0.25)+(L16*0.25)+(R16*0.20)+(H16*1.5)+(V16*1.5), 2)</f>
        <v/>
      </c>
    </row>
    <row r="17" ht="20" customHeight="1">
      <c r="A17" s="8" t="inlineStr">
        <is>
          <t>J. Hakkinen</t>
        </is>
      </c>
      <c r="B17" s="8" t="inlineStr">
        <is>
          <t>Kerry</t>
        </is>
      </c>
      <c r="C17" s="8" t="inlineStr">
        <is>
          <t>LCB, RB, LCB3</t>
        </is>
      </c>
      <c r="D17" s="9" t="n">
        <v>27</v>
      </c>
      <c r="E17" s="8" t="inlineStr">
        <is>
          <t>2026-11-30</t>
        </is>
      </c>
      <c r="F17" s="9" t="n">
        <v>6374</v>
      </c>
      <c r="G17" s="9" t="n">
        <v>185</v>
      </c>
      <c r="H17" s="10" t="n">
        <v>8.199999999999999</v>
      </c>
      <c r="I17" s="10" t="n">
        <v>6.1</v>
      </c>
      <c r="J17" s="10" t="n">
        <v>60.1</v>
      </c>
      <c r="K17" s="10" t="n">
        <v>3.7</v>
      </c>
      <c r="L17" s="10" t="n">
        <v>60.5</v>
      </c>
      <c r="M17" s="10" t="n">
        <v>0.75</v>
      </c>
      <c r="N17" s="10" t="n">
        <v>4.1</v>
      </c>
      <c r="O17" s="10" t="n">
        <v>3.8</v>
      </c>
      <c r="P17" s="10" t="n">
        <v>1.1</v>
      </c>
      <c r="Q17" s="9" t="n">
        <v>1</v>
      </c>
      <c r="R17" s="10" t="n">
        <v>78</v>
      </c>
      <c r="S17" s="10" t="n">
        <v>10.1</v>
      </c>
      <c r="T17" s="10" t="n">
        <v>73.5</v>
      </c>
      <c r="U17" s="10" t="n">
        <v>68</v>
      </c>
      <c r="V17" s="10" t="n">
        <v>5.3</v>
      </c>
      <c r="W17" s="10" t="n">
        <v>70</v>
      </c>
      <c r="X17" s="11">
        <f>ROUND((J17*0.25)+(L17*0.25)+(R17*0.20)+(H17*1.5)+(V17*1.5), 2)</f>
        <v/>
      </c>
    </row>
    <row r="18" ht="20" customHeight="1">
      <c r="A18" s="4" t="inlineStr">
        <is>
          <t>J. Kehir</t>
        </is>
      </c>
      <c r="B18" s="4" t="inlineStr">
        <is>
          <t>Athlone Town</t>
        </is>
      </c>
      <c r="C18" s="4" t="inlineStr">
        <is>
          <t>RCB, RB</t>
        </is>
      </c>
      <c r="D18" s="5" t="n">
        <v>18</v>
      </c>
      <c r="E18" s="4" t="inlineStr">
        <is>
          <t>None</t>
        </is>
      </c>
      <c r="F18" s="5" t="n">
        <v>2494</v>
      </c>
      <c r="G18" s="5" t="n">
        <v>181</v>
      </c>
      <c r="H18" s="6" t="n">
        <v>10.32</v>
      </c>
      <c r="I18" s="6" t="n">
        <v>7.6</v>
      </c>
      <c r="J18" s="6" t="n">
        <v>62.1</v>
      </c>
      <c r="K18" s="6" t="n">
        <v>3.4</v>
      </c>
      <c r="L18" s="6" t="n">
        <v>56.8</v>
      </c>
      <c r="M18" s="6" t="n">
        <v>0.7</v>
      </c>
      <c r="N18" s="6" t="n">
        <v>4</v>
      </c>
      <c r="O18" s="6" t="n">
        <v>3.7</v>
      </c>
      <c r="P18" s="6" t="n">
        <v>1.2</v>
      </c>
      <c r="Q18" s="5" t="n">
        <v>0</v>
      </c>
      <c r="R18" s="6" t="n">
        <v>76.5</v>
      </c>
      <c r="S18" s="6" t="n">
        <v>9.800000000000001</v>
      </c>
      <c r="T18" s="6" t="n">
        <v>72</v>
      </c>
      <c r="U18" s="6" t="n">
        <v>66</v>
      </c>
      <c r="V18" s="6" t="n">
        <v>5</v>
      </c>
      <c r="W18" s="6" t="n">
        <v>68</v>
      </c>
      <c r="X18" s="7">
        <f>ROUND((J18*0.25)+(L18*0.25)+(R18*0.20)+(H18*1.5)+(V18*1.5), 2)</f>
        <v/>
      </c>
    </row>
    <row r="19" ht="20" customHeight="1">
      <c r="A19" s="8" t="inlineStr">
        <is>
          <t>J. Crawford</t>
        </is>
      </c>
      <c r="B19" s="8" t="inlineStr">
        <is>
          <t>Athlone Town</t>
        </is>
      </c>
      <c r="C19" s="8" t="inlineStr">
        <is>
          <t>LB, LCB</t>
        </is>
      </c>
      <c r="D19" s="9" t="n">
        <v>21</v>
      </c>
      <c r="E19" s="8" t="inlineStr">
        <is>
          <t>2026-11-30</t>
        </is>
      </c>
      <c r="F19" s="9" t="n">
        <v>5645</v>
      </c>
      <c r="G19" s="9" t="n">
        <v>183</v>
      </c>
      <c r="H19" s="10" t="n">
        <v>8.9</v>
      </c>
      <c r="I19" s="10" t="n">
        <v>6.5</v>
      </c>
      <c r="J19" s="10" t="n">
        <v>59.8</v>
      </c>
      <c r="K19" s="10" t="n">
        <v>3.2</v>
      </c>
      <c r="L19" s="10" t="n">
        <v>55.4</v>
      </c>
      <c r="M19" s="10" t="n">
        <v>0.65</v>
      </c>
      <c r="N19" s="10" t="n">
        <v>3.9</v>
      </c>
      <c r="O19" s="10" t="n">
        <v>3.6</v>
      </c>
      <c r="P19" s="10" t="n">
        <v>1</v>
      </c>
      <c r="Q19" s="9" t="n">
        <v>0</v>
      </c>
      <c r="R19" s="10" t="n">
        <v>77</v>
      </c>
      <c r="S19" s="10" t="n">
        <v>9.5</v>
      </c>
      <c r="T19" s="10" t="n">
        <v>71</v>
      </c>
      <c r="U19" s="10" t="n">
        <v>65</v>
      </c>
      <c r="V19" s="10" t="n">
        <v>4.8</v>
      </c>
      <c r="W19" s="10" t="n">
        <v>67</v>
      </c>
      <c r="X19" s="11">
        <f>ROUND((J19*0.25)+(L19*0.25)+(R19*0.20)+(H19*1.5)+(V19*1.5), 2)</f>
        <v/>
      </c>
    </row>
    <row r="20" ht="20" customHeight="1">
      <c r="A20" s="4" t="inlineStr">
        <is>
          <t>T. McCarthy</t>
        </is>
      </c>
      <c r="B20" s="4" t="inlineStr">
        <is>
          <t>Longford Town</t>
        </is>
      </c>
      <c r="C20" s="4" t="inlineStr">
        <is>
          <t>LCB, CB</t>
        </is>
      </c>
      <c r="D20" s="5" t="n">
        <v>22</v>
      </c>
      <c r="E20" s="4" t="inlineStr">
        <is>
          <t>2026-11-30</t>
        </is>
      </c>
      <c r="F20" s="5" t="n">
        <v>3431</v>
      </c>
      <c r="G20" s="5" t="n">
        <v>182</v>
      </c>
      <c r="H20" s="6" t="n">
        <v>7.8</v>
      </c>
      <c r="I20" s="6" t="n">
        <v>5.8</v>
      </c>
      <c r="J20" s="6" t="n">
        <v>58.2</v>
      </c>
      <c r="K20" s="6" t="n">
        <v>3</v>
      </c>
      <c r="L20" s="6" t="n">
        <v>53.1</v>
      </c>
      <c r="M20" s="6" t="n">
        <v>0.6</v>
      </c>
      <c r="N20" s="6" t="n">
        <v>3.7</v>
      </c>
      <c r="O20" s="6" t="n">
        <v>3.4</v>
      </c>
      <c r="P20" s="6" t="n">
        <v>0.9</v>
      </c>
      <c r="Q20" s="5" t="n">
        <v>0</v>
      </c>
      <c r="R20" s="6" t="n">
        <v>75.8</v>
      </c>
      <c r="S20" s="6" t="n">
        <v>9</v>
      </c>
      <c r="T20" s="6" t="n">
        <v>70</v>
      </c>
      <c r="U20" s="6" t="n">
        <v>64</v>
      </c>
      <c r="V20" s="6" t="n">
        <v>4.5</v>
      </c>
      <c r="W20" s="6" t="n">
        <v>65</v>
      </c>
      <c r="X20" s="7">
        <f>ROUND((J20*0.25)+(L20*0.25)+(R20*0.20)+(H20*1.5)+(V20*1.5), 2)</f>
        <v/>
      </c>
    </row>
    <row r="21" ht="20" customHeight="1">
      <c r="A21" s="8" t="inlineStr">
        <is>
          <t>R. Mansfield</t>
        </is>
      </c>
      <c r="B21" s="8" t="inlineStr">
        <is>
          <t>Cobh Ramblers</t>
        </is>
      </c>
      <c r="C21" s="8" t="inlineStr">
        <is>
          <t>LCB, LCB3, CB</t>
        </is>
      </c>
      <c r="D21" s="9" t="n">
        <v>20</v>
      </c>
      <c r="E21" s="8" t="inlineStr">
        <is>
          <t>None</t>
        </is>
      </c>
      <c r="F21" s="9" t="n">
        <v>1676</v>
      </c>
      <c r="G21" s="9" t="n">
        <v>180</v>
      </c>
      <c r="H21" s="10" t="n">
        <v>6.5</v>
      </c>
      <c r="I21" s="10" t="n">
        <v>4.9</v>
      </c>
      <c r="J21" s="10" t="n">
        <v>51</v>
      </c>
      <c r="K21" s="10" t="n">
        <v>2.5</v>
      </c>
      <c r="L21" s="10" t="n">
        <v>45</v>
      </c>
      <c r="M21" s="10" t="n">
        <v>0.4</v>
      </c>
      <c r="N21" s="10" t="n">
        <v>2.8</v>
      </c>
      <c r="O21" s="10" t="n">
        <v>2.5</v>
      </c>
      <c r="P21" s="10" t="n">
        <v>1.4</v>
      </c>
      <c r="Q21" s="9" t="n">
        <v>0</v>
      </c>
      <c r="R21" s="10" t="n">
        <v>72</v>
      </c>
      <c r="S21" s="10" t="n">
        <v>7.5</v>
      </c>
      <c r="T21" s="10" t="n">
        <v>65</v>
      </c>
      <c r="U21" s="10" t="n">
        <v>58</v>
      </c>
      <c r="V21" s="10" t="n">
        <v>3.8</v>
      </c>
      <c r="W21" s="10" t="n">
        <v>60</v>
      </c>
      <c r="X21" s="11">
        <f>ROUND((J21*0.25)+(L21*0.25)+(R21*0.20)+(H21*1.5)+(V21*1.5), 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3"/>
  <sheetViews>
    <sheetView workbookViewId="0">
      <selection activeCell="A1" sqref="A1"/>
    </sheetView>
  </sheetViews>
  <sheetFormatPr baseColWidth="8" defaultRowHeight="15"/>
  <cols>
    <col width="115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26" customWidth="1" min="8" max="8"/>
    <col width="26" customWidth="1" min="9" max="9"/>
    <col width="23" customWidth="1" min="10" max="10"/>
    <col width="23" customWidth="1" min="11" max="11"/>
    <col width="24" customWidth="1" min="12" max="12"/>
    <col width="22" customWidth="1" min="13" max="13"/>
    <col width="16" customWidth="1" min="14" max="14"/>
    <col width="13" customWidth="1" min="15" max="15"/>
    <col width="18" customWidth="1" min="16" max="16"/>
    <col width="23" customWidth="1" min="17" max="17"/>
    <col width="19" customWidth="1" min="18" max="18"/>
    <col width="26" customWidth="1" min="19" max="19"/>
    <col width="27" customWidth="1" min="20" max="20"/>
    <col width="22" customWidth="1" min="21" max="21"/>
    <col width="25" customWidth="1" min="22" max="22"/>
    <col width="30" customWidth="1" min="23" max="23"/>
    <col width="32" customWidth="1" min="24" max="24"/>
    <col width="37" customWidth="1" min="25" max="25"/>
    <col width="29" customWidth="1" min="26" max="26"/>
    <col width="34" customWidth="1" min="27" max="27"/>
    <col width="64" customWidth="1" min="28" max="28"/>
  </cols>
  <sheetData>
    <row r="1">
      <c r="A1" s="1" t="inlineStr">
        <is>
          <t>Kerry FC Scouting Database - Left Backs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Minutes played</t>
        </is>
      </c>
      <c r="F3" s="3" t="inlineStr">
        <is>
          <t>Assists</t>
        </is>
      </c>
      <c r="G3" s="3" t="inlineStr">
        <is>
          <t>xA</t>
        </is>
      </c>
      <c r="H3" s="3" t="inlineStr">
        <is>
          <t>Defensive duels per 90</t>
        </is>
      </c>
      <c r="I3" s="3" t="inlineStr">
        <is>
          <t>Defensive duels won, %</t>
        </is>
      </c>
      <c r="J3" s="3" t="inlineStr">
        <is>
          <t>Aerial duels per 90</t>
        </is>
      </c>
      <c r="K3" s="3" t="inlineStr">
        <is>
          <t>Aerial duels won, %</t>
        </is>
      </c>
      <c r="L3" s="3" t="inlineStr">
        <is>
          <t>Interceptions per 90</t>
        </is>
      </c>
      <c r="M3" s="3" t="inlineStr">
        <is>
          <t>PAdj Interceptions</t>
        </is>
      </c>
      <c r="N3" s="3" t="inlineStr">
        <is>
          <t>Fouls per 90</t>
        </is>
      </c>
      <c r="O3" s="3" t="inlineStr">
        <is>
          <t>xA per 90</t>
        </is>
      </c>
      <c r="P3" s="3" t="inlineStr">
        <is>
          <t>Crosses per 90</t>
        </is>
      </c>
      <c r="Q3" s="3" t="inlineStr">
        <is>
          <t>Accurate crosses, %</t>
        </is>
      </c>
      <c r="R3" s="3" t="inlineStr">
        <is>
          <t>Dribbles per 90</t>
        </is>
      </c>
      <c r="S3" s="3" t="inlineStr">
        <is>
          <t>Successful dribbles, %</t>
        </is>
      </c>
      <c r="T3" s="3" t="inlineStr">
        <is>
          <t>Progressive runs per 90</t>
        </is>
      </c>
      <c r="U3" s="3" t="inlineStr">
        <is>
          <t>Accurate passes, %</t>
        </is>
      </c>
      <c r="V3" s="3" t="inlineStr">
        <is>
          <t>Forward passes per 90</t>
        </is>
      </c>
      <c r="W3" s="3" t="inlineStr">
        <is>
          <t>Accurate forward passes, %</t>
        </is>
      </c>
      <c r="X3" s="3" t="inlineStr">
        <is>
          <t>Passes to final third per 90</t>
        </is>
      </c>
      <c r="Y3" s="3" t="inlineStr">
        <is>
          <t>Accurate passes to final third, %</t>
        </is>
      </c>
      <c r="Z3" s="3" t="inlineStr">
        <is>
          <t>Progressive passes per 90</t>
        </is>
      </c>
      <c r="AA3" s="3" t="inlineStr">
        <is>
          <t>Accurate progressive passes, %</t>
        </is>
      </c>
      <c r="AB3" s="3" t="inlineStr">
        <is>
          <t>Composite Score</t>
        </is>
      </c>
    </row>
    <row r="4" ht="20" customHeight="1">
      <c r="A4" s="4" t="inlineStr">
        <is>
          <t>J. Hough</t>
        </is>
      </c>
      <c r="B4" s="4" t="inlineStr">
        <is>
          <t>Finn Harps</t>
        </is>
      </c>
      <c r="C4" s="4" t="inlineStr">
        <is>
          <t>LB</t>
        </is>
      </c>
      <c r="D4" s="5" t="n">
        <v>22</v>
      </c>
      <c r="E4" s="5" t="n">
        <v>4200</v>
      </c>
      <c r="F4" s="5" t="n">
        <v>7</v>
      </c>
      <c r="G4" s="6" t="n">
        <v>5.8</v>
      </c>
      <c r="H4" s="6" t="n">
        <v>7.8</v>
      </c>
      <c r="I4" s="6" t="n">
        <v>68.5</v>
      </c>
      <c r="J4" s="6" t="n">
        <v>2.4</v>
      </c>
      <c r="K4" s="6" t="n">
        <v>60.1</v>
      </c>
      <c r="L4" s="6" t="n">
        <v>5.2</v>
      </c>
      <c r="M4" s="6" t="n">
        <v>5</v>
      </c>
      <c r="N4" s="6" t="n">
        <v>1.1</v>
      </c>
      <c r="O4" s="6" t="n">
        <v>0.22</v>
      </c>
      <c r="P4" s="6" t="n">
        <v>4.5</v>
      </c>
      <c r="Q4" s="6" t="n">
        <v>36.5</v>
      </c>
      <c r="R4" s="6" t="n">
        <v>3.2</v>
      </c>
      <c r="S4" s="6" t="n">
        <v>64</v>
      </c>
      <c r="T4" s="6" t="n">
        <v>3.8</v>
      </c>
      <c r="U4" s="6" t="n">
        <v>82.5</v>
      </c>
      <c r="V4" s="6" t="n">
        <v>12</v>
      </c>
      <c r="W4" s="6" t="n">
        <v>78</v>
      </c>
      <c r="X4" s="6" t="n">
        <v>4.8</v>
      </c>
      <c r="Y4" s="6" t="n">
        <v>74</v>
      </c>
      <c r="Z4" s="6" t="n">
        <v>6.5</v>
      </c>
      <c r="AA4" s="6" t="n">
        <v>76</v>
      </c>
      <c r="AB4" s="7">
        <f>ROUND((I4*0.25)+(K4*0.20)+(U4*0.20)+(O4*10)+(T4*2), 2)</f>
        <v/>
      </c>
    </row>
    <row r="5" ht="20" customHeight="1">
      <c r="A5" s="8" t="inlineStr">
        <is>
          <t>D. O'Shea</t>
        </is>
      </c>
      <c r="B5" s="8" t="inlineStr">
        <is>
          <t>UCD</t>
        </is>
      </c>
      <c r="C5" s="8" t="inlineStr">
        <is>
          <t>LB, LWB</t>
        </is>
      </c>
      <c r="D5" s="9" t="n">
        <v>23</v>
      </c>
      <c r="E5" s="9" t="n">
        <v>4900</v>
      </c>
      <c r="F5" s="9" t="n">
        <v>6</v>
      </c>
      <c r="G5" s="10" t="n">
        <v>5.2</v>
      </c>
      <c r="H5" s="10" t="n">
        <v>7.5</v>
      </c>
      <c r="I5" s="10" t="n">
        <v>66.8</v>
      </c>
      <c r="J5" s="10" t="n">
        <v>2.2</v>
      </c>
      <c r="K5" s="10" t="n">
        <v>58.4</v>
      </c>
      <c r="L5" s="10" t="n">
        <v>4.9</v>
      </c>
      <c r="M5" s="10" t="n">
        <v>4.7</v>
      </c>
      <c r="N5" s="10" t="n">
        <v>1.2</v>
      </c>
      <c r="O5" s="10" t="n">
        <v>0.19</v>
      </c>
      <c r="P5" s="10" t="n">
        <v>4.2</v>
      </c>
      <c r="Q5" s="10" t="n">
        <v>35</v>
      </c>
      <c r="R5" s="10" t="n">
        <v>2.9</v>
      </c>
      <c r="S5" s="10" t="n">
        <v>62</v>
      </c>
      <c r="T5" s="10" t="n">
        <v>3.5</v>
      </c>
      <c r="U5" s="10" t="n">
        <v>81</v>
      </c>
      <c r="V5" s="10" t="n">
        <v>11.5</v>
      </c>
      <c r="W5" s="10" t="n">
        <v>76.5</v>
      </c>
      <c r="X5" s="10" t="n">
        <v>4.5</v>
      </c>
      <c r="Y5" s="10" t="n">
        <v>72</v>
      </c>
      <c r="Z5" s="10" t="n">
        <v>6.2</v>
      </c>
      <c r="AA5" s="10" t="n">
        <v>74</v>
      </c>
      <c r="AB5" s="11">
        <f>ROUND((I5*0.25)+(K5*0.20)+(U5*0.20)+(O5*10)+(T5*2), 2)</f>
        <v/>
      </c>
    </row>
    <row r="6" ht="20" customHeight="1">
      <c r="A6" s="4" t="inlineStr">
        <is>
          <t>S. O'Connell</t>
        </is>
      </c>
      <c r="B6" s="4" t="inlineStr">
        <is>
          <t>None</t>
        </is>
      </c>
      <c r="C6" s="4" t="inlineStr">
        <is>
          <t>LB</t>
        </is>
      </c>
      <c r="D6" s="5" t="n">
        <v>21</v>
      </c>
      <c r="E6" s="5" t="n">
        <v>6438</v>
      </c>
      <c r="F6" s="5" t="n">
        <v>5</v>
      </c>
      <c r="G6" s="6" t="n">
        <v>4.8</v>
      </c>
      <c r="H6" s="6" t="n">
        <v>7.2</v>
      </c>
      <c r="I6" s="6" t="n">
        <v>65.5</v>
      </c>
      <c r="J6" s="6" t="n">
        <v>2.75</v>
      </c>
      <c r="K6" s="6" t="n">
        <v>50.25</v>
      </c>
      <c r="L6" s="6" t="n">
        <v>4.7</v>
      </c>
      <c r="M6" s="6" t="n">
        <v>4.5</v>
      </c>
      <c r="N6" s="6" t="n">
        <v>1</v>
      </c>
      <c r="O6" s="6" t="n">
        <v>0.17</v>
      </c>
      <c r="P6" s="6" t="n">
        <v>3.9</v>
      </c>
      <c r="Q6" s="6" t="n">
        <v>33.5</v>
      </c>
      <c r="R6" s="6" t="n">
        <v>2.7</v>
      </c>
      <c r="S6" s="6" t="n">
        <v>60</v>
      </c>
      <c r="T6" s="6" t="n">
        <v>3.3</v>
      </c>
      <c r="U6" s="6" t="n">
        <v>80.2</v>
      </c>
      <c r="V6" s="6" t="n">
        <v>11</v>
      </c>
      <c r="W6" s="6" t="n">
        <v>75</v>
      </c>
      <c r="X6" s="6" t="n">
        <v>4.2</v>
      </c>
      <c r="Y6" s="6" t="n">
        <v>70</v>
      </c>
      <c r="Z6" s="6" t="n">
        <v>5.9</v>
      </c>
      <c r="AA6" s="6" t="n">
        <v>72</v>
      </c>
      <c r="AB6" s="7">
        <f>ROUND((I6*0.25)+(K6*0.20)+(U6*0.20)+(O6*10)+(T6*2), 2)</f>
        <v/>
      </c>
    </row>
    <row r="7" ht="20" customHeight="1">
      <c r="A7" s="8" t="inlineStr">
        <is>
          <t>K. O'Connor</t>
        </is>
      </c>
      <c r="B7" s="8" t="inlineStr">
        <is>
          <t>None</t>
        </is>
      </c>
      <c r="C7" s="8" t="inlineStr">
        <is>
          <t>LB, LWB</t>
        </is>
      </c>
      <c r="D7" s="9" t="n">
        <v>23</v>
      </c>
      <c r="E7" s="9" t="n">
        <v>5066</v>
      </c>
      <c r="F7" s="9" t="n">
        <v>6</v>
      </c>
      <c r="G7" s="10" t="n">
        <v>4.8</v>
      </c>
      <c r="H7" s="10" t="n">
        <v>7.4</v>
      </c>
      <c r="I7" s="10" t="n">
        <v>62.89</v>
      </c>
      <c r="J7" s="10" t="n">
        <v>1.72</v>
      </c>
      <c r="K7" s="10" t="n">
        <v>62.89</v>
      </c>
      <c r="L7" s="10" t="n">
        <v>4.8</v>
      </c>
      <c r="M7" s="10" t="n">
        <v>4.6</v>
      </c>
      <c r="N7" s="10" t="n">
        <v>1.4</v>
      </c>
      <c r="O7" s="10" t="n">
        <v>0.18</v>
      </c>
      <c r="P7" s="10" t="n">
        <v>4.1</v>
      </c>
      <c r="Q7" s="10" t="n">
        <v>34</v>
      </c>
      <c r="R7" s="10" t="n">
        <v>2.8</v>
      </c>
      <c r="S7" s="10" t="n">
        <v>60.1</v>
      </c>
      <c r="T7" s="10" t="n">
        <v>3.5</v>
      </c>
      <c r="U7" s="10" t="n">
        <v>80.2</v>
      </c>
      <c r="V7" s="10" t="n">
        <v>10.8</v>
      </c>
      <c r="W7" s="10" t="n">
        <v>76.2</v>
      </c>
      <c r="X7" s="10" t="n">
        <v>4.4</v>
      </c>
      <c r="Y7" s="10" t="n">
        <v>71.5</v>
      </c>
      <c r="Z7" s="10" t="n">
        <v>6.1</v>
      </c>
      <c r="AA7" s="10" t="n">
        <v>74</v>
      </c>
      <c r="AB7" s="11">
        <f>ROUND((I7*0.25)+(K7*0.20)+(U7*0.20)+(O7*10)+(T7*2), 2)</f>
        <v/>
      </c>
    </row>
    <row r="8" ht="20" customHeight="1">
      <c r="A8" s="4" t="inlineStr">
        <is>
          <t>J. Crawford</t>
        </is>
      </c>
      <c r="B8" s="4" t="inlineStr">
        <is>
          <t>Athlone Town</t>
        </is>
      </c>
      <c r="C8" s="4" t="inlineStr">
        <is>
          <t>LB, LCB</t>
        </is>
      </c>
      <c r="D8" s="5" t="n">
        <v>21</v>
      </c>
      <c r="E8" s="5" t="n">
        <v>5645</v>
      </c>
      <c r="F8" s="5" t="n">
        <v>4</v>
      </c>
      <c r="G8" s="6" t="n">
        <v>3.9</v>
      </c>
      <c r="H8" s="6" t="n">
        <v>7</v>
      </c>
      <c r="I8" s="6" t="n">
        <v>63.5</v>
      </c>
      <c r="J8" s="6" t="n">
        <v>2</v>
      </c>
      <c r="K8" s="6" t="n">
        <v>55</v>
      </c>
      <c r="L8" s="6" t="n">
        <v>4.4</v>
      </c>
      <c r="M8" s="6" t="n">
        <v>4.2</v>
      </c>
      <c r="N8" s="6" t="n">
        <v>1.1</v>
      </c>
      <c r="O8" s="6" t="n">
        <v>0.14</v>
      </c>
      <c r="P8" s="6" t="n">
        <v>3.6</v>
      </c>
      <c r="Q8" s="6" t="n">
        <v>31</v>
      </c>
      <c r="R8" s="6" t="n">
        <v>2.4</v>
      </c>
      <c r="S8" s="6" t="n">
        <v>57</v>
      </c>
      <c r="T8" s="6" t="n">
        <v>3</v>
      </c>
      <c r="U8" s="6" t="n">
        <v>78.5</v>
      </c>
      <c r="V8" s="6" t="n">
        <v>10.2</v>
      </c>
      <c r="W8" s="6" t="n">
        <v>74</v>
      </c>
      <c r="X8" s="6" t="n">
        <v>3.9</v>
      </c>
      <c r="Y8" s="6" t="n">
        <v>68</v>
      </c>
      <c r="Z8" s="6" t="n">
        <v>5.5</v>
      </c>
      <c r="AA8" s="6" t="n">
        <v>70</v>
      </c>
      <c r="AB8" s="7">
        <f>ROUND((I8*0.25)+(K8*0.20)+(U8*0.20)+(O8*10)+(T8*2), 2)</f>
        <v/>
      </c>
    </row>
    <row r="9" ht="20" customHeight="1">
      <c r="A9" s="8" t="inlineStr">
        <is>
          <t>B. Lynch</t>
        </is>
      </c>
      <c r="B9" s="8" t="inlineStr">
        <is>
          <t>Treaty United</t>
        </is>
      </c>
      <c r="C9" s="8" t="inlineStr">
        <is>
          <t>LB</t>
        </is>
      </c>
      <c r="D9" s="9" t="n">
        <v>24</v>
      </c>
      <c r="E9" s="9" t="n">
        <v>4800</v>
      </c>
      <c r="F9" s="9" t="n">
        <v>5</v>
      </c>
      <c r="G9" s="10" t="n">
        <v>4.2</v>
      </c>
      <c r="H9" s="10" t="n">
        <v>7.1</v>
      </c>
      <c r="I9" s="10" t="n">
        <v>65.40000000000001</v>
      </c>
      <c r="J9" s="10" t="n">
        <v>2.1</v>
      </c>
      <c r="K9" s="10" t="n">
        <v>55</v>
      </c>
      <c r="L9" s="10" t="n">
        <v>4.5</v>
      </c>
      <c r="M9" s="10" t="n">
        <v>4.3</v>
      </c>
      <c r="N9" s="10" t="n">
        <v>1.2</v>
      </c>
      <c r="O9" s="10" t="n">
        <v>0.15</v>
      </c>
      <c r="P9" s="10" t="n">
        <v>3.8</v>
      </c>
      <c r="Q9" s="10" t="n">
        <v>32.1</v>
      </c>
      <c r="R9" s="10" t="n">
        <v>2.5</v>
      </c>
      <c r="S9" s="10" t="n">
        <v>58</v>
      </c>
      <c r="T9" s="10" t="n">
        <v>3.2</v>
      </c>
      <c r="U9" s="10" t="n">
        <v>79.5</v>
      </c>
      <c r="V9" s="10" t="n">
        <v>10.2</v>
      </c>
      <c r="W9" s="10" t="n">
        <v>75</v>
      </c>
      <c r="X9" s="10" t="n">
        <v>4.1</v>
      </c>
      <c r="Y9" s="10" t="n">
        <v>70</v>
      </c>
      <c r="Z9" s="10" t="n">
        <v>5.8</v>
      </c>
      <c r="AA9" s="10" t="n">
        <v>72</v>
      </c>
      <c r="AB9" s="11">
        <f>ROUND((I9*0.25)+(K9*0.20)+(U9*0.20)+(O9*10)+(T9*2), 2)</f>
        <v/>
      </c>
    </row>
    <row r="10" ht="20" customHeight="1">
      <c r="A10" s="4" t="inlineStr">
        <is>
          <t>C. Drinan</t>
        </is>
      </c>
      <c r="B10" s="4" t="inlineStr">
        <is>
          <t>Cobh Ramblers</t>
        </is>
      </c>
      <c r="C10" s="4" t="inlineStr">
        <is>
          <t>LB</t>
        </is>
      </c>
      <c r="D10" s="5" t="n">
        <v>21</v>
      </c>
      <c r="E10" s="5" t="n">
        <v>3400</v>
      </c>
      <c r="F10" s="5" t="n">
        <v>3</v>
      </c>
      <c r="G10" s="6" t="n">
        <v>3.1</v>
      </c>
      <c r="H10" s="6" t="n">
        <v>6.8</v>
      </c>
      <c r="I10" s="6" t="n">
        <v>67</v>
      </c>
      <c r="J10" s="6" t="n">
        <v>1.9</v>
      </c>
      <c r="K10" s="6" t="n">
        <v>52.1</v>
      </c>
      <c r="L10" s="6" t="n">
        <v>4.2</v>
      </c>
      <c r="M10" s="6" t="n">
        <v>4</v>
      </c>
      <c r="N10" s="6" t="n">
        <v>1.1</v>
      </c>
      <c r="O10" s="6" t="n">
        <v>0.12</v>
      </c>
      <c r="P10" s="6" t="n">
        <v>3.5</v>
      </c>
      <c r="Q10" s="6" t="n">
        <v>30</v>
      </c>
      <c r="R10" s="6" t="n">
        <v>2.2</v>
      </c>
      <c r="S10" s="6" t="n">
        <v>55</v>
      </c>
      <c r="T10" s="6" t="n">
        <v>2.9</v>
      </c>
      <c r="U10" s="6" t="n">
        <v>78</v>
      </c>
      <c r="V10" s="6" t="n">
        <v>9.800000000000001</v>
      </c>
      <c r="W10" s="6" t="n">
        <v>73</v>
      </c>
      <c r="X10" s="6" t="n">
        <v>3.8</v>
      </c>
      <c r="Y10" s="6" t="n">
        <v>68</v>
      </c>
      <c r="Z10" s="6" t="n">
        <v>5.2</v>
      </c>
      <c r="AA10" s="6" t="n">
        <v>70</v>
      </c>
      <c r="AB10" s="7">
        <f>ROUND((I10*0.25)+(K10*0.20)+(U10*0.20)+(O10*10)+(T10*2), 2)</f>
        <v/>
      </c>
    </row>
    <row r="11" ht="20" customHeight="1">
      <c r="A11" s="8" t="inlineStr">
        <is>
          <t>S. Murphy</t>
        </is>
      </c>
      <c r="B11" s="8" t="inlineStr">
        <is>
          <t>Wexford</t>
        </is>
      </c>
      <c r="C11" s="8" t="inlineStr">
        <is>
          <t>LB</t>
        </is>
      </c>
      <c r="D11" s="9" t="n">
        <v>22</v>
      </c>
      <c r="E11" s="9" t="n">
        <v>3100</v>
      </c>
      <c r="F11" s="9" t="n">
        <v>3</v>
      </c>
      <c r="G11" s="10" t="n">
        <v>2.8</v>
      </c>
      <c r="H11" s="10" t="n">
        <v>6.5</v>
      </c>
      <c r="I11" s="10" t="n">
        <v>61.2</v>
      </c>
      <c r="J11" s="10" t="n">
        <v>1.8</v>
      </c>
      <c r="K11" s="10" t="n">
        <v>50</v>
      </c>
      <c r="L11" s="10" t="n">
        <v>4</v>
      </c>
      <c r="M11" s="10" t="n">
        <v>3.8</v>
      </c>
      <c r="N11" s="10" t="n">
        <v>1.3</v>
      </c>
      <c r="O11" s="10" t="n">
        <v>0.11</v>
      </c>
      <c r="P11" s="10" t="n">
        <v>3.2</v>
      </c>
      <c r="Q11" s="10" t="n">
        <v>28.5</v>
      </c>
      <c r="R11" s="10" t="n">
        <v>2</v>
      </c>
      <c r="S11" s="10" t="n">
        <v>52</v>
      </c>
      <c r="T11" s="10" t="n">
        <v>2.6</v>
      </c>
      <c r="U11" s="10" t="n">
        <v>76.5</v>
      </c>
      <c r="V11" s="10" t="n">
        <v>9.199999999999999</v>
      </c>
      <c r="W11" s="10" t="n">
        <v>71</v>
      </c>
      <c r="X11" s="10" t="n">
        <v>3.5</v>
      </c>
      <c r="Y11" s="10" t="n">
        <v>65</v>
      </c>
      <c r="Z11" s="10" t="n">
        <v>4.8</v>
      </c>
      <c r="AA11" s="10" t="n">
        <v>67</v>
      </c>
      <c r="AB11" s="11">
        <f>ROUND((I11*0.25)+(K11*0.20)+(U11*0.20)+(O11*10)+(T11*2), 2)</f>
        <v/>
      </c>
    </row>
    <row r="12" ht="20" customHeight="1">
      <c r="A12" s="4" t="inlineStr">
        <is>
          <t>D. Adewale</t>
        </is>
      </c>
      <c r="B12" s="4" t="inlineStr">
        <is>
          <t>Bray Wanderers</t>
        </is>
      </c>
      <c r="C12" s="4" t="inlineStr">
        <is>
          <t>LB, LWB</t>
        </is>
      </c>
      <c r="D12" s="5" t="n">
        <v>20</v>
      </c>
      <c r="E12" s="5" t="n">
        <v>2800</v>
      </c>
      <c r="F12" s="5" t="n">
        <v>2</v>
      </c>
      <c r="G12" s="6" t="n">
        <v>2.1</v>
      </c>
      <c r="H12" s="6" t="n">
        <v>6.2</v>
      </c>
      <c r="I12" s="6" t="n">
        <v>58</v>
      </c>
      <c r="J12" s="6" t="n">
        <v>1.6</v>
      </c>
      <c r="K12" s="6" t="n">
        <v>47</v>
      </c>
      <c r="L12" s="6" t="n">
        <v>3.8</v>
      </c>
      <c r="M12" s="6" t="n">
        <v>3.6</v>
      </c>
      <c r="N12" s="6" t="n">
        <v>1.4</v>
      </c>
      <c r="O12" s="6" t="n">
        <v>0.09</v>
      </c>
      <c r="P12" s="6" t="n">
        <v>2.8</v>
      </c>
      <c r="Q12" s="6" t="n">
        <v>26</v>
      </c>
      <c r="R12" s="6" t="n">
        <v>1.8</v>
      </c>
      <c r="S12" s="6" t="n">
        <v>48</v>
      </c>
      <c r="T12" s="6" t="n">
        <v>2.2</v>
      </c>
      <c r="U12" s="6" t="n">
        <v>74</v>
      </c>
      <c r="V12" s="6" t="n">
        <v>8.5</v>
      </c>
      <c r="W12" s="6" t="n">
        <v>68</v>
      </c>
      <c r="X12" s="6" t="n">
        <v>3</v>
      </c>
      <c r="Y12" s="6" t="n">
        <v>60</v>
      </c>
      <c r="Z12" s="6" t="n">
        <v>4.2</v>
      </c>
      <c r="AA12" s="6" t="n">
        <v>62</v>
      </c>
      <c r="AB12" s="7">
        <f>ROUND((I12*0.25)+(K12*0.20)+(U12*0.20)+(O12*10)+(T12*2), 2)</f>
        <v/>
      </c>
    </row>
    <row r="13" ht="20" customHeight="1">
      <c r="A13" s="8" t="inlineStr">
        <is>
          <t>A. Fanle</t>
        </is>
      </c>
      <c r="B13" s="8" t="inlineStr">
        <is>
          <t>Longford Town</t>
        </is>
      </c>
      <c r="C13" s="8" t="inlineStr">
        <is>
          <t>LB</t>
        </is>
      </c>
      <c r="D13" s="9" t="n">
        <v>19</v>
      </c>
      <c r="E13" s="9" t="n">
        <v>2100</v>
      </c>
      <c r="F13" s="9" t="n">
        <v>1</v>
      </c>
      <c r="G13" s="10" t="n">
        <v>1.5</v>
      </c>
      <c r="H13" s="10" t="n">
        <v>5.8</v>
      </c>
      <c r="I13" s="10" t="n">
        <v>54</v>
      </c>
      <c r="J13" s="10" t="n">
        <v>1.4</v>
      </c>
      <c r="K13" s="10" t="n">
        <v>44</v>
      </c>
      <c r="L13" s="10" t="n">
        <v>3.4</v>
      </c>
      <c r="M13" s="10" t="n">
        <v>3.2</v>
      </c>
      <c r="N13" s="10" t="n">
        <v>1.5</v>
      </c>
      <c r="O13" s="10" t="n">
        <v>0.07000000000000001</v>
      </c>
      <c r="P13" s="10" t="n">
        <v>2.4</v>
      </c>
      <c r="Q13" s="10" t="n">
        <v>24</v>
      </c>
      <c r="R13" s="10" t="n">
        <v>1.5</v>
      </c>
      <c r="S13" s="10" t="n">
        <v>45</v>
      </c>
      <c r="T13" s="10" t="n">
        <v>1.8</v>
      </c>
      <c r="U13" s="10" t="n">
        <v>71</v>
      </c>
      <c r="V13" s="10" t="n">
        <v>7.8</v>
      </c>
      <c r="W13" s="10" t="n">
        <v>64</v>
      </c>
      <c r="X13" s="10" t="n">
        <v>2.6</v>
      </c>
      <c r="Y13" s="10" t="n">
        <v>55</v>
      </c>
      <c r="Z13" s="10" t="n">
        <v>3.6</v>
      </c>
      <c r="AA13" s="10" t="n">
        <v>56</v>
      </c>
      <c r="AB13" s="11">
        <f>ROUND((I13*0.25)+(K13*0.20)+(U13*0.20)+(O13*10)+(T13*2), 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3"/>
  <sheetViews>
    <sheetView workbookViewId="0">
      <selection activeCell="A1" sqref="A1"/>
    </sheetView>
  </sheetViews>
  <sheetFormatPr baseColWidth="8" defaultRowHeight="15"/>
  <cols>
    <col width="115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23" customWidth="1" min="11" max="11"/>
    <col width="23" customWidth="1" min="12" max="12"/>
    <col width="24" customWidth="1" min="13" max="13"/>
    <col width="22" customWidth="1" min="14" max="14"/>
    <col width="16" customWidth="1" min="15" max="15"/>
    <col width="28" customWidth="1" min="16" max="16"/>
    <col width="18" customWidth="1" min="17" max="17"/>
    <col width="13" customWidth="1" min="18" max="18"/>
    <col width="26" customWidth="1" min="19" max="19"/>
    <col width="26" customWidth="1" min="20" max="20"/>
    <col width="27" customWidth="1" min="21" max="21"/>
    <col width="26" customWidth="1" min="22" max="22"/>
    <col width="25" customWidth="1" min="23" max="23"/>
    <col width="17" customWidth="1" min="24" max="24"/>
    <col width="22" customWidth="1" min="25" max="25"/>
    <col width="25" customWidth="1" min="26" max="26"/>
    <col width="30" customWidth="1" min="27" max="27"/>
    <col width="32" customWidth="1" min="28" max="28"/>
    <col width="37" customWidth="1" min="29" max="29"/>
    <col width="29" customWidth="1" min="30" max="30"/>
    <col width="34" customWidth="1" min="31" max="31"/>
    <col width="64" customWidth="1" min="32" max="32"/>
  </cols>
  <sheetData>
    <row r="1">
      <c r="A1" s="1" t="inlineStr">
        <is>
          <t>Kerry FC Scouting Database - Central Midfielders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Minutes played</t>
        </is>
      </c>
      <c r="F3" s="3" t="inlineStr">
        <is>
          <t>Goals</t>
        </is>
      </c>
      <c r="G3" s="3" t="inlineStr">
        <is>
          <t>Assists</t>
        </is>
      </c>
      <c r="H3" s="3" t="inlineStr">
        <is>
          <t>xA</t>
        </is>
      </c>
      <c r="I3" s="3" t="inlineStr">
        <is>
          <t>Defensive duels per 90</t>
        </is>
      </c>
      <c r="J3" s="3" t="inlineStr">
        <is>
          <t>Defensive duels won, %</t>
        </is>
      </c>
      <c r="K3" s="3" t="inlineStr">
        <is>
          <t>Aerial duels per 90</t>
        </is>
      </c>
      <c r="L3" s="3" t="inlineStr">
        <is>
          <t>Aerial duels won, %</t>
        </is>
      </c>
      <c r="M3" s="3" t="inlineStr">
        <is>
          <t>Interceptions per 90</t>
        </is>
      </c>
      <c r="N3" s="3" t="inlineStr">
        <is>
          <t>PAdj Interceptions</t>
        </is>
      </c>
      <c r="O3" s="3" t="inlineStr">
        <is>
          <t>Fouls per 90</t>
        </is>
      </c>
      <c r="P3" s="3" t="inlineStr">
        <is>
          <t>Non-penalty goals per 90</t>
        </is>
      </c>
      <c r="Q3" s="3" t="inlineStr">
        <is>
          <t>Assists per 90</t>
        </is>
      </c>
      <c r="R3" s="3" t="inlineStr">
        <is>
          <t>xA per 90</t>
        </is>
      </c>
      <c r="S3" s="3" t="inlineStr">
        <is>
          <t>Successful dribbles, %</t>
        </is>
      </c>
      <c r="T3" s="3" t="inlineStr">
        <is>
          <t>Offensive duels won, %</t>
        </is>
      </c>
      <c r="U3" s="3" t="inlineStr">
        <is>
          <t>Progressive runs per 90</t>
        </is>
      </c>
      <c r="V3" s="3" t="inlineStr">
        <is>
          <t>Received passes per 90</t>
        </is>
      </c>
      <c r="W3" s="3" t="inlineStr">
        <is>
          <t>Fouls suffered per 90</t>
        </is>
      </c>
      <c r="X3" s="3" t="inlineStr">
        <is>
          <t>Passes per 90</t>
        </is>
      </c>
      <c r="Y3" s="3" t="inlineStr">
        <is>
          <t>Accurate passes, %</t>
        </is>
      </c>
      <c r="Z3" s="3" t="inlineStr">
        <is>
          <t>Forward passes per 90</t>
        </is>
      </c>
      <c r="AA3" s="3" t="inlineStr">
        <is>
          <t>Accurate forward passes, %</t>
        </is>
      </c>
      <c r="AB3" s="3" t="inlineStr">
        <is>
          <t>Passes to final third per 90</t>
        </is>
      </c>
      <c r="AC3" s="3" t="inlineStr">
        <is>
          <t>Accurate passes to final third, %</t>
        </is>
      </c>
      <c r="AD3" s="3" t="inlineStr">
        <is>
          <t>Progressive passes per 90</t>
        </is>
      </c>
      <c r="AE3" s="3" t="inlineStr">
        <is>
          <t>Accurate progressive passes, %</t>
        </is>
      </c>
      <c r="AF3" s="3" t="inlineStr">
        <is>
          <t>Composite Score</t>
        </is>
      </c>
    </row>
    <row r="4" ht="20" customHeight="1">
      <c r="A4" s="4" t="inlineStr">
        <is>
          <t>H. Groome</t>
        </is>
      </c>
      <c r="B4" s="4" t="inlineStr">
        <is>
          <t>Bray Wanderers</t>
        </is>
      </c>
      <c r="C4" s="4" t="inlineStr">
        <is>
          <t>CM</t>
        </is>
      </c>
      <c r="D4" s="5" t="n">
        <v>23</v>
      </c>
      <c r="E4" s="5" t="n">
        <v>5400</v>
      </c>
      <c r="F4" s="5" t="n">
        <v>6</v>
      </c>
      <c r="G4" s="5" t="n">
        <v>8</v>
      </c>
      <c r="H4" s="6" t="n">
        <v>7.1</v>
      </c>
      <c r="I4" s="6" t="n">
        <v>7.2</v>
      </c>
      <c r="J4" s="6" t="n">
        <v>70.09999999999999</v>
      </c>
      <c r="K4" s="6" t="n">
        <v>2.2</v>
      </c>
      <c r="L4" s="6" t="n">
        <v>58</v>
      </c>
      <c r="M4" s="6" t="n">
        <v>4.8</v>
      </c>
      <c r="N4" s="6" t="n">
        <v>4.5</v>
      </c>
      <c r="O4" s="6" t="n">
        <v>1.1</v>
      </c>
      <c r="P4" s="6" t="n">
        <v>0.1</v>
      </c>
      <c r="Q4" s="6" t="n">
        <v>0.13</v>
      </c>
      <c r="R4" s="6" t="n">
        <v>0.12</v>
      </c>
      <c r="S4" s="6" t="n">
        <v>65</v>
      </c>
      <c r="T4" s="6" t="n">
        <v>58</v>
      </c>
      <c r="U4" s="6" t="n">
        <v>3.2</v>
      </c>
      <c r="V4" s="6" t="n">
        <v>48</v>
      </c>
      <c r="W4" s="6" t="n">
        <v>2.4</v>
      </c>
      <c r="X4" s="6" t="n">
        <v>56</v>
      </c>
      <c r="Y4" s="6" t="n">
        <v>87.2</v>
      </c>
      <c r="Z4" s="6" t="n">
        <v>15.1</v>
      </c>
      <c r="AA4" s="6" t="n">
        <v>83</v>
      </c>
      <c r="AB4" s="6" t="n">
        <v>7.2</v>
      </c>
      <c r="AC4" s="6" t="n">
        <v>81</v>
      </c>
      <c r="AD4" s="6" t="n">
        <v>9.1</v>
      </c>
      <c r="AE4" s="6" t="n">
        <v>83.5</v>
      </c>
      <c r="AF4" s="7">
        <f>ROUND((J4*0.25)+(Y4*0.25)+(R4*10)+(AD4*1.5)+(F4*3), 2)</f>
        <v/>
      </c>
    </row>
    <row r="5" ht="20" customHeight="1">
      <c r="A5" s="8" t="inlineStr">
        <is>
          <t>L. Dignam</t>
        </is>
      </c>
      <c r="B5" s="8" t="inlineStr">
        <is>
          <t>Cobh Ramblers</t>
        </is>
      </c>
      <c r="C5" s="8" t="inlineStr">
        <is>
          <t>CM</t>
        </is>
      </c>
      <c r="D5" s="9" t="n">
        <v>22</v>
      </c>
      <c r="E5" s="9" t="n">
        <v>5100</v>
      </c>
      <c r="F5" s="9" t="n">
        <v>5</v>
      </c>
      <c r="G5" s="9" t="n">
        <v>7</v>
      </c>
      <c r="H5" s="10" t="n">
        <v>6.2</v>
      </c>
      <c r="I5" s="10" t="n">
        <v>6.8</v>
      </c>
      <c r="J5" s="10" t="n">
        <v>68.2</v>
      </c>
      <c r="K5" s="10" t="n">
        <v>1.8</v>
      </c>
      <c r="L5" s="10" t="n">
        <v>54</v>
      </c>
      <c r="M5" s="10" t="n">
        <v>4.1</v>
      </c>
      <c r="N5" s="10" t="n">
        <v>3.9</v>
      </c>
      <c r="O5" s="10" t="n">
        <v>1.3</v>
      </c>
      <c r="P5" s="10" t="n">
        <v>0.09</v>
      </c>
      <c r="Q5" s="10" t="n">
        <v>0.12</v>
      </c>
      <c r="R5" s="10" t="n">
        <v>0.11</v>
      </c>
      <c r="S5" s="10" t="n">
        <v>62</v>
      </c>
      <c r="T5" s="10" t="n">
        <v>55</v>
      </c>
      <c r="U5" s="10" t="n">
        <v>2.8</v>
      </c>
      <c r="V5" s="10" t="n">
        <v>45</v>
      </c>
      <c r="W5" s="10" t="n">
        <v>2.1</v>
      </c>
      <c r="X5" s="10" t="n">
        <v>52</v>
      </c>
      <c r="Y5" s="10" t="n">
        <v>85.40000000000001</v>
      </c>
      <c r="Z5" s="10" t="n">
        <v>14.2</v>
      </c>
      <c r="AA5" s="10" t="n">
        <v>81</v>
      </c>
      <c r="AB5" s="10" t="n">
        <v>6.5</v>
      </c>
      <c r="AC5" s="10" t="n">
        <v>78</v>
      </c>
      <c r="AD5" s="10" t="n">
        <v>8.199999999999999</v>
      </c>
      <c r="AE5" s="10" t="n">
        <v>80</v>
      </c>
      <c r="AF5" s="11">
        <f>ROUND((J5*0.25)+(Y5*0.25)+(R5*10)+(AD5*1.5)+(F5*3), 2)</f>
        <v/>
      </c>
    </row>
    <row r="6" ht="20" customHeight="1">
      <c r="A6" s="4" t="inlineStr">
        <is>
          <t>A. Wells</t>
        </is>
      </c>
      <c r="B6" s="4" t="inlineStr">
        <is>
          <t>UCD</t>
        </is>
      </c>
      <c r="C6" s="4" t="inlineStr">
        <is>
          <t>CM</t>
        </is>
      </c>
      <c r="D6" s="5" t="n">
        <v>22</v>
      </c>
      <c r="E6" s="5" t="n">
        <v>5200</v>
      </c>
      <c r="F6" s="5" t="n">
        <v>4</v>
      </c>
      <c r="G6" s="5" t="n">
        <v>6</v>
      </c>
      <c r="H6" s="6" t="n">
        <v>5.8</v>
      </c>
      <c r="I6" s="6" t="n">
        <v>6.9</v>
      </c>
      <c r="J6" s="6" t="n">
        <v>67.5</v>
      </c>
      <c r="K6" s="6" t="n">
        <v>2</v>
      </c>
      <c r="L6" s="6" t="n">
        <v>55</v>
      </c>
      <c r="M6" s="6" t="n">
        <v>4.4</v>
      </c>
      <c r="N6" s="6" t="n">
        <v>4.2</v>
      </c>
      <c r="O6" s="6" t="n">
        <v>1.2</v>
      </c>
      <c r="P6" s="6" t="n">
        <v>0.07000000000000001</v>
      </c>
      <c r="Q6" s="6" t="n">
        <v>0.1</v>
      </c>
      <c r="R6" s="6" t="n">
        <v>0.1</v>
      </c>
      <c r="S6" s="6" t="n">
        <v>61</v>
      </c>
      <c r="T6" s="6" t="n">
        <v>54</v>
      </c>
      <c r="U6" s="6" t="n">
        <v>2.7</v>
      </c>
      <c r="V6" s="6" t="n">
        <v>44</v>
      </c>
      <c r="W6" s="6" t="n">
        <v>2</v>
      </c>
      <c r="X6" s="6" t="n">
        <v>51</v>
      </c>
      <c r="Y6" s="6" t="n">
        <v>86</v>
      </c>
      <c r="Z6" s="6" t="n">
        <v>14</v>
      </c>
      <c r="AA6" s="6" t="n">
        <v>82</v>
      </c>
      <c r="AB6" s="6" t="n">
        <v>6.4</v>
      </c>
      <c r="AC6" s="6" t="n">
        <v>79</v>
      </c>
      <c r="AD6" s="6" t="n">
        <v>8</v>
      </c>
      <c r="AE6" s="6" t="n">
        <v>81</v>
      </c>
      <c r="AF6" s="7">
        <f>ROUND((J6*0.25)+(Y6*0.25)+(R6*10)+(AD6*1.5)+(F6*3), 2)</f>
        <v/>
      </c>
    </row>
    <row r="7" ht="20" customHeight="1">
      <c r="A7" s="8" t="inlineStr">
        <is>
          <t>A. Verdon</t>
        </is>
      </c>
      <c r="B7" s="8" t="inlineStr">
        <is>
          <t>Wexford</t>
        </is>
      </c>
      <c r="C7" s="8" t="inlineStr">
        <is>
          <t>CM</t>
        </is>
      </c>
      <c r="D7" s="9" t="n">
        <v>24</v>
      </c>
      <c r="E7" s="9" t="n">
        <v>4900</v>
      </c>
      <c r="F7" s="9" t="n">
        <v>4</v>
      </c>
      <c r="G7" s="9" t="n">
        <v>6</v>
      </c>
      <c r="H7" s="10" t="n">
        <v>5.5</v>
      </c>
      <c r="I7" s="10" t="n">
        <v>6.7</v>
      </c>
      <c r="J7" s="10" t="n">
        <v>66.8</v>
      </c>
      <c r="K7" s="10" t="n">
        <v>1.9</v>
      </c>
      <c r="L7" s="10" t="n">
        <v>53</v>
      </c>
      <c r="M7" s="10" t="n">
        <v>4.2</v>
      </c>
      <c r="N7" s="10" t="n">
        <v>4</v>
      </c>
      <c r="O7" s="10" t="n">
        <v>1.1</v>
      </c>
      <c r="P7" s="10" t="n">
        <v>0.07000000000000001</v>
      </c>
      <c r="Q7" s="10" t="n">
        <v>0.11</v>
      </c>
      <c r="R7" s="10" t="n">
        <v>0.1</v>
      </c>
      <c r="S7" s="10" t="n">
        <v>60.5</v>
      </c>
      <c r="T7" s="10" t="n">
        <v>53.5</v>
      </c>
      <c r="U7" s="10" t="n">
        <v>2.6</v>
      </c>
      <c r="V7" s="10" t="n">
        <v>43</v>
      </c>
      <c r="W7" s="10" t="n">
        <v>1.9</v>
      </c>
      <c r="X7" s="10" t="n">
        <v>50.5</v>
      </c>
      <c r="Y7" s="10" t="n">
        <v>85</v>
      </c>
      <c r="Z7" s="10" t="n">
        <v>13.9</v>
      </c>
      <c r="AA7" s="10" t="n">
        <v>80.5</v>
      </c>
      <c r="AB7" s="10" t="n">
        <v>6.3</v>
      </c>
      <c r="AC7" s="10" t="n">
        <v>77.5</v>
      </c>
      <c r="AD7" s="10" t="n">
        <v>7.9</v>
      </c>
      <c r="AE7" s="10" t="n">
        <v>79.5</v>
      </c>
      <c r="AF7" s="11">
        <f>ROUND((J7*0.25)+(Y7*0.25)+(R7*10)+(AD7*1.5)+(F7*3), 2)</f>
        <v/>
      </c>
    </row>
    <row r="8" ht="20" customHeight="1">
      <c r="A8" s="4" t="inlineStr">
        <is>
          <t>S. Griffin</t>
        </is>
      </c>
      <c r="B8" s="4" t="inlineStr">
        <is>
          <t>Kerry</t>
        </is>
      </c>
      <c r="C8" s="4" t="inlineStr">
        <is>
          <t>CM</t>
        </is>
      </c>
      <c r="D8" s="5" t="n">
        <v>21</v>
      </c>
      <c r="E8" s="5" t="n">
        <v>5300</v>
      </c>
      <c r="F8" s="5" t="n">
        <v>3</v>
      </c>
      <c r="G8" s="5" t="n">
        <v>5</v>
      </c>
      <c r="H8" s="6" t="n">
        <v>5.1</v>
      </c>
      <c r="I8" s="6" t="n">
        <v>6.6</v>
      </c>
      <c r="J8" s="6" t="n">
        <v>66</v>
      </c>
      <c r="K8" s="6" t="n">
        <v>1.7</v>
      </c>
      <c r="L8" s="6" t="n">
        <v>52</v>
      </c>
      <c r="M8" s="6" t="n">
        <v>4</v>
      </c>
      <c r="N8" s="6" t="n">
        <v>3.8</v>
      </c>
      <c r="O8" s="6" t="n">
        <v>1.2</v>
      </c>
      <c r="P8" s="6" t="n">
        <v>0.05</v>
      </c>
      <c r="Q8" s="6" t="n">
        <v>0.08</v>
      </c>
      <c r="R8" s="6" t="n">
        <v>0.09</v>
      </c>
      <c r="S8" s="6" t="n">
        <v>59</v>
      </c>
      <c r="T8" s="6" t="n">
        <v>52</v>
      </c>
      <c r="U8" s="6" t="n">
        <v>2.5</v>
      </c>
      <c r="V8" s="6" t="n">
        <v>42</v>
      </c>
      <c r="W8" s="6" t="n">
        <v>2.2</v>
      </c>
      <c r="X8" s="6" t="n">
        <v>49</v>
      </c>
      <c r="Y8" s="6" t="n">
        <v>84.5</v>
      </c>
      <c r="Z8" s="6" t="n">
        <v>13.5</v>
      </c>
      <c r="AA8" s="6" t="n">
        <v>79.5</v>
      </c>
      <c r="AB8" s="6" t="n">
        <v>6.1</v>
      </c>
      <c r="AC8" s="6" t="n">
        <v>76</v>
      </c>
      <c r="AD8" s="6" t="n">
        <v>7.6</v>
      </c>
      <c r="AE8" s="6" t="n">
        <v>78</v>
      </c>
      <c r="AF8" s="7">
        <f>ROUND((J8*0.25)+(Y8*0.25)+(R8*10)+(AD8*1.5)+(F8*3), 2)</f>
        <v/>
      </c>
    </row>
    <row r="9" ht="20" customHeight="1">
      <c r="A9" s="8" t="inlineStr">
        <is>
          <t>S. Brennan</t>
        </is>
      </c>
      <c r="B9" s="8" t="inlineStr">
        <is>
          <t>UCD</t>
        </is>
      </c>
      <c r="C9" s="8" t="inlineStr">
        <is>
          <t>CM</t>
        </is>
      </c>
      <c r="D9" s="9" t="n">
        <v>21</v>
      </c>
      <c r="E9" s="9" t="n">
        <v>4800</v>
      </c>
      <c r="F9" s="9" t="n">
        <v>3</v>
      </c>
      <c r="G9" s="9" t="n">
        <v>5</v>
      </c>
      <c r="H9" s="10" t="n">
        <v>4.5</v>
      </c>
      <c r="I9" s="10" t="n">
        <v>6.8</v>
      </c>
      <c r="J9" s="10" t="n">
        <v>65</v>
      </c>
      <c r="K9" s="10" t="n">
        <v>1.6</v>
      </c>
      <c r="L9" s="10" t="n">
        <v>52</v>
      </c>
      <c r="M9" s="10" t="n">
        <v>4.3</v>
      </c>
      <c r="N9" s="10" t="n">
        <v>4.1</v>
      </c>
      <c r="O9" s="10" t="n">
        <v>1.2</v>
      </c>
      <c r="P9" s="10" t="n">
        <v>0.06</v>
      </c>
      <c r="Q9" s="10" t="n">
        <v>0.1</v>
      </c>
      <c r="R9" s="10" t="n">
        <v>0.09</v>
      </c>
      <c r="S9" s="10" t="n">
        <v>60</v>
      </c>
      <c r="T9" s="10" t="n">
        <v>53</v>
      </c>
      <c r="U9" s="10" t="n">
        <v>2.5</v>
      </c>
      <c r="V9" s="10" t="n">
        <v>42</v>
      </c>
      <c r="W9" s="10" t="n">
        <v>1.9</v>
      </c>
      <c r="X9" s="10" t="n">
        <v>50</v>
      </c>
      <c r="Y9" s="10" t="n">
        <v>84</v>
      </c>
      <c r="Z9" s="10" t="n">
        <v>13.8</v>
      </c>
      <c r="AA9" s="10" t="n">
        <v>79</v>
      </c>
      <c r="AB9" s="10" t="n">
        <v>6.2</v>
      </c>
      <c r="AC9" s="10" t="n">
        <v>76</v>
      </c>
      <c r="AD9" s="10" t="n">
        <v>7.8</v>
      </c>
      <c r="AE9" s="10" t="n">
        <v>78</v>
      </c>
      <c r="AF9" s="11">
        <f>ROUND((J9*0.25)+(Y9*0.25)+(R9*10)+(AD9*1.5)+(F9*3), 2)</f>
        <v/>
      </c>
    </row>
    <row r="10" ht="20" customHeight="1">
      <c r="A10" s="4" t="inlineStr">
        <is>
          <t>R. Bartley</t>
        </is>
      </c>
      <c r="B10" s="4" t="inlineStr">
        <is>
          <t>Longford Town</t>
        </is>
      </c>
      <c r="C10" s="4" t="inlineStr">
        <is>
          <t>CM</t>
        </is>
      </c>
      <c r="D10" s="5" t="n">
        <v>23</v>
      </c>
      <c r="E10" s="5" t="n">
        <v>4600</v>
      </c>
      <c r="F10" s="5" t="n">
        <v>3</v>
      </c>
      <c r="G10" s="5" t="n">
        <v>4</v>
      </c>
      <c r="H10" s="6" t="n">
        <v>4.2</v>
      </c>
      <c r="I10" s="6" t="n">
        <v>6.5</v>
      </c>
      <c r="J10" s="6" t="n">
        <v>64.2</v>
      </c>
      <c r="K10" s="6" t="n">
        <v>1.5</v>
      </c>
      <c r="L10" s="6" t="n">
        <v>50</v>
      </c>
      <c r="M10" s="6" t="n">
        <v>4.1</v>
      </c>
      <c r="N10" s="6" t="n">
        <v>3.9</v>
      </c>
      <c r="O10" s="6" t="n">
        <v>1.3</v>
      </c>
      <c r="P10" s="6" t="n">
        <v>0.06</v>
      </c>
      <c r="Q10" s="6" t="n">
        <v>0.08</v>
      </c>
      <c r="R10" s="6" t="n">
        <v>0.08</v>
      </c>
      <c r="S10" s="6" t="n">
        <v>58</v>
      </c>
      <c r="T10" s="6" t="n">
        <v>51</v>
      </c>
      <c r="U10" s="6" t="n">
        <v>2.3</v>
      </c>
      <c r="V10" s="6" t="n">
        <v>40</v>
      </c>
      <c r="W10" s="6" t="n">
        <v>1.8</v>
      </c>
      <c r="X10" s="6" t="n">
        <v>48</v>
      </c>
      <c r="Y10" s="6" t="n">
        <v>83.2</v>
      </c>
      <c r="Z10" s="6" t="n">
        <v>13.2</v>
      </c>
      <c r="AA10" s="6" t="n">
        <v>78</v>
      </c>
      <c r="AB10" s="6" t="n">
        <v>5.9</v>
      </c>
      <c r="AC10" s="6" t="n">
        <v>74</v>
      </c>
      <c r="AD10" s="6" t="n">
        <v>7.4</v>
      </c>
      <c r="AE10" s="6" t="n">
        <v>76</v>
      </c>
      <c r="AF10" s="7">
        <f>ROUND((J10*0.25)+(Y10*0.25)+(R10*10)+(AD10*1.5)+(F10*3), 2)</f>
        <v/>
      </c>
    </row>
    <row r="11" ht="20" customHeight="1">
      <c r="A11" s="8" t="inlineStr">
        <is>
          <t>K. Harnett</t>
        </is>
      </c>
      <c r="B11" s="8" t="inlineStr">
        <is>
          <t>Kerry</t>
        </is>
      </c>
      <c r="C11" s="8" t="inlineStr">
        <is>
          <t>CM</t>
        </is>
      </c>
      <c r="D11" s="9" t="n">
        <v>22</v>
      </c>
      <c r="E11" s="9" t="n">
        <v>4700</v>
      </c>
      <c r="F11" s="9" t="n">
        <v>2</v>
      </c>
      <c r="G11" s="9" t="n">
        <v>4</v>
      </c>
      <c r="H11" s="10" t="n">
        <v>3.8</v>
      </c>
      <c r="I11" s="10" t="n">
        <v>6.4</v>
      </c>
      <c r="J11" s="10" t="n">
        <v>63.5</v>
      </c>
      <c r="K11" s="10" t="n">
        <v>1.4</v>
      </c>
      <c r="L11" s="10" t="n">
        <v>49</v>
      </c>
      <c r="M11" s="10" t="n">
        <v>3.9</v>
      </c>
      <c r="N11" s="10" t="n">
        <v>3.7</v>
      </c>
      <c r="O11" s="10" t="n">
        <v>1.4</v>
      </c>
      <c r="P11" s="10" t="n">
        <v>0.04</v>
      </c>
      <c r="Q11" s="10" t="n">
        <v>0.08</v>
      </c>
      <c r="R11" s="10" t="n">
        <v>0.07000000000000001</v>
      </c>
      <c r="S11" s="10" t="n">
        <v>57</v>
      </c>
      <c r="T11" s="10" t="n">
        <v>50</v>
      </c>
      <c r="U11" s="10" t="n">
        <v>2.2</v>
      </c>
      <c r="V11" s="10" t="n">
        <v>39</v>
      </c>
      <c r="W11" s="10" t="n">
        <v>2</v>
      </c>
      <c r="X11" s="10" t="n">
        <v>47</v>
      </c>
      <c r="Y11" s="10" t="n">
        <v>82.5</v>
      </c>
      <c r="Z11" s="10" t="n">
        <v>13</v>
      </c>
      <c r="AA11" s="10" t="n">
        <v>77</v>
      </c>
      <c r="AB11" s="10" t="n">
        <v>5.7</v>
      </c>
      <c r="AC11" s="10" t="n">
        <v>72</v>
      </c>
      <c r="AD11" s="10" t="n">
        <v>7.1</v>
      </c>
      <c r="AE11" s="10" t="n">
        <v>74</v>
      </c>
      <c r="AF11" s="11">
        <f>ROUND((J11*0.25)+(Y11*0.25)+(R11*10)+(AD11*1.5)+(F11*3), 2)</f>
        <v/>
      </c>
    </row>
    <row r="12" ht="20" customHeight="1">
      <c r="A12" s="4" t="inlineStr">
        <is>
          <t>A. Paraschiv</t>
        </is>
      </c>
      <c r="B12" s="4" t="inlineStr">
        <is>
          <t>Athlone Town</t>
        </is>
      </c>
      <c r="C12" s="4" t="inlineStr">
        <is>
          <t>CM</t>
        </is>
      </c>
      <c r="D12" s="5" t="n">
        <v>20</v>
      </c>
      <c r="E12" s="5" t="n">
        <v>3900</v>
      </c>
      <c r="F12" s="5" t="n">
        <v>2</v>
      </c>
      <c r="G12" s="5" t="n">
        <v>3</v>
      </c>
      <c r="H12" s="6" t="n">
        <v>3.5</v>
      </c>
      <c r="I12" s="6" t="n">
        <v>6.2</v>
      </c>
      <c r="J12" s="6" t="n">
        <v>62.8</v>
      </c>
      <c r="K12" s="6" t="n">
        <v>1.3</v>
      </c>
      <c r="L12" s="6" t="n">
        <v>48</v>
      </c>
      <c r="M12" s="6" t="n">
        <v>3.8</v>
      </c>
      <c r="N12" s="6" t="n">
        <v>3.6</v>
      </c>
      <c r="O12" s="6" t="n">
        <v>1.2</v>
      </c>
      <c r="P12" s="6" t="n">
        <v>0.05</v>
      </c>
      <c r="Q12" s="6" t="n">
        <v>0.07000000000000001</v>
      </c>
      <c r="R12" s="6" t="n">
        <v>0.08</v>
      </c>
      <c r="S12" s="6" t="n">
        <v>56</v>
      </c>
      <c r="T12" s="6" t="n">
        <v>49</v>
      </c>
      <c r="U12" s="6" t="n">
        <v>2.1</v>
      </c>
      <c r="V12" s="6" t="n">
        <v>38</v>
      </c>
      <c r="W12" s="6" t="n">
        <v>1.7</v>
      </c>
      <c r="X12" s="6" t="n">
        <v>46</v>
      </c>
      <c r="Y12" s="6" t="n">
        <v>82</v>
      </c>
      <c r="Z12" s="6" t="n">
        <v>12.8</v>
      </c>
      <c r="AA12" s="6" t="n">
        <v>76</v>
      </c>
      <c r="AB12" s="6" t="n">
        <v>5.5</v>
      </c>
      <c r="AC12" s="6" t="n">
        <v>70</v>
      </c>
      <c r="AD12" s="6" t="n">
        <v>6.8</v>
      </c>
      <c r="AE12" s="6" t="n">
        <v>72</v>
      </c>
      <c r="AF12" s="7">
        <f>ROUND((J12*0.25)+(Y12*0.25)+(R12*10)+(AD12*1.5)+(F12*3), 2)</f>
        <v/>
      </c>
    </row>
    <row r="13" ht="20" customHeight="1">
      <c r="A13" s="8" t="inlineStr">
        <is>
          <t>S. Moore</t>
        </is>
      </c>
      <c r="B13" s="8" t="inlineStr">
        <is>
          <t>Treaty United</t>
        </is>
      </c>
      <c r="C13" s="8" t="inlineStr">
        <is>
          <t>CM</t>
        </is>
      </c>
      <c r="D13" s="9" t="n">
        <v>21</v>
      </c>
      <c r="E13" s="9" t="n">
        <v>4100</v>
      </c>
      <c r="F13" s="9" t="n">
        <v>2</v>
      </c>
      <c r="G13" s="9" t="n">
        <v>3</v>
      </c>
      <c r="H13" s="10" t="n">
        <v>3.2</v>
      </c>
      <c r="I13" s="10" t="n">
        <v>6.1</v>
      </c>
      <c r="J13" s="10" t="n">
        <v>62</v>
      </c>
      <c r="K13" s="10" t="n">
        <v>1.2</v>
      </c>
      <c r="L13" s="10" t="n">
        <v>47</v>
      </c>
      <c r="M13" s="10" t="n">
        <v>3.7</v>
      </c>
      <c r="N13" s="10" t="n">
        <v>3.5</v>
      </c>
      <c r="O13" s="10" t="n">
        <v>1.3</v>
      </c>
      <c r="P13" s="10" t="n">
        <v>0.04</v>
      </c>
      <c r="Q13" s="10" t="n">
        <v>0.07000000000000001</v>
      </c>
      <c r="R13" s="10" t="n">
        <v>0.07000000000000001</v>
      </c>
      <c r="S13" s="10" t="n">
        <v>55</v>
      </c>
      <c r="T13" s="10" t="n">
        <v>48</v>
      </c>
      <c r="U13" s="10" t="n">
        <v>2</v>
      </c>
      <c r="V13" s="10" t="n">
        <v>37</v>
      </c>
      <c r="W13" s="10" t="n">
        <v>1.6</v>
      </c>
      <c r="X13" s="10" t="n">
        <v>45</v>
      </c>
      <c r="Y13" s="10" t="n">
        <v>81.5</v>
      </c>
      <c r="Z13" s="10" t="n">
        <v>12.5</v>
      </c>
      <c r="AA13" s="10" t="n">
        <v>75</v>
      </c>
      <c r="AB13" s="10" t="n">
        <v>5.3</v>
      </c>
      <c r="AC13" s="10" t="n">
        <v>68</v>
      </c>
      <c r="AD13" s="10" t="n">
        <v>6.5</v>
      </c>
      <c r="AE13" s="10" t="n">
        <v>70</v>
      </c>
      <c r="AF13" s="11">
        <f>ROUND((J13*0.25)+(Y13*0.25)+(R13*10)+(AD13*1.5)+(F13*3),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3"/>
  <sheetViews>
    <sheetView workbookViewId="0">
      <selection activeCell="A1" sqref="A1"/>
    </sheetView>
  </sheetViews>
  <sheetFormatPr baseColWidth="8" defaultRowHeight="15"/>
  <cols>
    <col width="115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28" customWidth="1" min="11" max="11"/>
    <col width="13" customWidth="1" min="12" max="12"/>
    <col width="16" customWidth="1" min="13" max="13"/>
    <col width="22" customWidth="1" min="14" max="14"/>
    <col width="13" customWidth="1" min="15" max="15"/>
    <col width="18" customWidth="1" min="16" max="16"/>
    <col width="23" customWidth="1" min="17" max="17"/>
    <col width="19" customWidth="1" min="18" max="18"/>
    <col width="26" customWidth="1" min="19" max="19"/>
    <col width="25" customWidth="1" min="20" max="20"/>
    <col width="27" customWidth="1" min="21" max="21"/>
    <col width="25" customWidth="1" min="22" max="22"/>
    <col width="32" customWidth="1" min="23" max="23"/>
    <col width="37" customWidth="1" min="24" max="24"/>
    <col width="27" customWidth="1" min="25" max="25"/>
    <col width="34" customWidth="1" min="26" max="26"/>
    <col width="62" customWidth="1" min="27" max="27"/>
  </cols>
  <sheetData>
    <row r="1">
      <c r="A1" s="1" t="inlineStr">
        <is>
          <t>Kerry FC Scouting Database - Wingers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Minutes played</t>
        </is>
      </c>
      <c r="F3" s="3" t="inlineStr">
        <is>
          <t>Goals</t>
        </is>
      </c>
      <c r="G3" s="3" t="inlineStr">
        <is>
          <t>xG</t>
        </is>
      </c>
      <c r="H3" s="3" t="inlineStr">
        <is>
          <t>Assists</t>
        </is>
      </c>
      <c r="I3" s="3" t="inlineStr">
        <is>
          <t>xA</t>
        </is>
      </c>
      <c r="J3" s="3" t="inlineStr">
        <is>
          <t>Defensive duels won, %</t>
        </is>
      </c>
      <c r="K3" s="3" t="inlineStr">
        <is>
          <t>Non-penalty goals per 90</t>
        </is>
      </c>
      <c r="L3" s="3" t="inlineStr">
        <is>
          <t>xG per 90</t>
        </is>
      </c>
      <c r="M3" s="3" t="inlineStr">
        <is>
          <t>Shots per 90</t>
        </is>
      </c>
      <c r="N3" s="3" t="inlineStr">
        <is>
          <t>Shots on target, %</t>
        </is>
      </c>
      <c r="O3" s="3" t="inlineStr">
        <is>
          <t>xA per 90</t>
        </is>
      </c>
      <c r="P3" s="3" t="inlineStr">
        <is>
          <t>Crosses per 90</t>
        </is>
      </c>
      <c r="Q3" s="3" t="inlineStr">
        <is>
          <t>Accurate crosses, %</t>
        </is>
      </c>
      <c r="R3" s="3" t="inlineStr">
        <is>
          <t>Dribbles per 90</t>
        </is>
      </c>
      <c r="S3" s="3" t="inlineStr">
        <is>
          <t>Successful dribbles, %</t>
        </is>
      </c>
      <c r="T3" s="3" t="inlineStr">
        <is>
          <t>Touches in box per 90</t>
        </is>
      </c>
      <c r="U3" s="3" t="inlineStr">
        <is>
          <t>Progressive runs per 90</t>
        </is>
      </c>
      <c r="V3" s="3" t="inlineStr">
        <is>
          <t>Fouls suffered per 90</t>
        </is>
      </c>
      <c r="W3" s="3" t="inlineStr">
        <is>
          <t>Passes to final third per 90</t>
        </is>
      </c>
      <c r="X3" s="3" t="inlineStr">
        <is>
          <t>Accurate passes to final third, %</t>
        </is>
      </c>
      <c r="Y3" s="3" t="inlineStr">
        <is>
          <t>Deep completions per 90</t>
        </is>
      </c>
      <c r="Z3" s="3" t="inlineStr">
        <is>
          <t>Accurate progressive passes, %</t>
        </is>
      </c>
      <c r="AA3" s="3" t="inlineStr">
        <is>
          <t>Composite Score</t>
        </is>
      </c>
    </row>
    <row r="4" ht="20" customHeight="1">
      <c r="A4" s="4" t="inlineStr">
        <is>
          <t>H. Mpongo</t>
        </is>
      </c>
      <c r="B4" s="4" t="inlineStr">
        <is>
          <t>Kerry</t>
        </is>
      </c>
      <c r="C4" s="4" t="inlineStr">
        <is>
          <t>W</t>
        </is>
      </c>
      <c r="D4" s="5" t="n">
        <v>20</v>
      </c>
      <c r="E4" s="5" t="n">
        <v>4900</v>
      </c>
      <c r="F4" s="5" t="n">
        <v>10</v>
      </c>
      <c r="G4" s="6" t="n">
        <v>8.9</v>
      </c>
      <c r="H4" s="5" t="n">
        <v>7</v>
      </c>
      <c r="I4" s="6" t="n">
        <v>6.5</v>
      </c>
      <c r="J4" s="6" t="n">
        <v>54</v>
      </c>
      <c r="K4" s="6" t="n">
        <v>0.18</v>
      </c>
      <c r="L4" s="6" t="n">
        <v>0.27</v>
      </c>
      <c r="M4" s="6" t="n">
        <v>2.9</v>
      </c>
      <c r="N4" s="6" t="n">
        <v>46</v>
      </c>
      <c r="O4" s="6" t="n">
        <v>0.15</v>
      </c>
      <c r="P4" s="6" t="n">
        <v>4.2</v>
      </c>
      <c r="Q4" s="6" t="n">
        <v>29</v>
      </c>
      <c r="R4" s="6" t="n">
        <v>5.6</v>
      </c>
      <c r="S4" s="6" t="n">
        <v>62</v>
      </c>
      <c r="T4" s="6" t="n">
        <v>4.8</v>
      </c>
      <c r="U4" s="6" t="n">
        <v>3.9</v>
      </c>
      <c r="V4" s="6" t="n">
        <v>2.6</v>
      </c>
      <c r="W4" s="6" t="n">
        <v>3.2</v>
      </c>
      <c r="X4" s="6" t="n">
        <v>75</v>
      </c>
      <c r="Y4" s="6" t="n">
        <v>2.2</v>
      </c>
      <c r="Z4" s="6" t="n">
        <v>76</v>
      </c>
      <c r="AA4" s="7">
        <f>ROUND((S4*0.25)+(L4*12)+(O4*12)+(N4*0.20)+(F4*2), 2)</f>
        <v/>
      </c>
    </row>
    <row r="5" ht="20" customHeight="1">
      <c r="A5" s="8" t="inlineStr">
        <is>
          <t>M. McCullagh</t>
        </is>
      </c>
      <c r="B5" s="8" t="inlineStr">
        <is>
          <t>Cork City</t>
        </is>
      </c>
      <c r="C5" s="8" t="inlineStr">
        <is>
          <t>W</t>
        </is>
      </c>
      <c r="D5" s="9" t="n">
        <v>21</v>
      </c>
      <c r="E5" s="9" t="n">
        <v>4600</v>
      </c>
      <c r="F5" s="9" t="n">
        <v>9</v>
      </c>
      <c r="G5" s="10" t="n">
        <v>8.199999999999999</v>
      </c>
      <c r="H5" s="9" t="n">
        <v>7</v>
      </c>
      <c r="I5" s="10" t="n">
        <v>6.1</v>
      </c>
      <c r="J5" s="10" t="n">
        <v>52</v>
      </c>
      <c r="K5" s="10" t="n">
        <v>0.18</v>
      </c>
      <c r="L5" s="10" t="n">
        <v>0.25</v>
      </c>
      <c r="M5" s="10" t="n">
        <v>2.8</v>
      </c>
      <c r="N5" s="10" t="n">
        <v>45</v>
      </c>
      <c r="O5" s="10" t="n">
        <v>0.14</v>
      </c>
      <c r="P5" s="10" t="n">
        <v>4.2</v>
      </c>
      <c r="Q5" s="10" t="n">
        <v>28</v>
      </c>
      <c r="R5" s="10" t="n">
        <v>5.5</v>
      </c>
      <c r="S5" s="10" t="n">
        <v>61</v>
      </c>
      <c r="T5" s="10" t="n">
        <v>4.8</v>
      </c>
      <c r="U5" s="10" t="n">
        <v>3.8</v>
      </c>
      <c r="V5" s="10" t="n">
        <v>2.5</v>
      </c>
      <c r="W5" s="10" t="n">
        <v>3.2</v>
      </c>
      <c r="X5" s="10" t="n">
        <v>74</v>
      </c>
      <c r="Y5" s="10" t="n">
        <v>2.1</v>
      </c>
      <c r="Z5" s="10" t="n">
        <v>75</v>
      </c>
      <c r="AA5" s="11">
        <f>ROUND((S5*0.25)+(L5*12)+(O5*12)+(N5*0.20)+(F5*2), 2)</f>
        <v/>
      </c>
    </row>
    <row r="6" ht="20" customHeight="1">
      <c r="A6" s="4" t="inlineStr">
        <is>
          <t>I. Achara</t>
        </is>
      </c>
      <c r="B6" s="4" t="inlineStr">
        <is>
          <t>Bray Wanderers</t>
        </is>
      </c>
      <c r="C6" s="4" t="inlineStr">
        <is>
          <t>W</t>
        </is>
      </c>
      <c r="D6" s="5" t="n">
        <v>22</v>
      </c>
      <c r="E6" s="5" t="n">
        <v>4400</v>
      </c>
      <c r="F6" s="5" t="n">
        <v>8</v>
      </c>
      <c r="G6" s="6" t="n">
        <v>7.8</v>
      </c>
      <c r="H6" s="5" t="n">
        <v>6</v>
      </c>
      <c r="I6" s="6" t="n">
        <v>5.9</v>
      </c>
      <c r="J6" s="6" t="n">
        <v>53</v>
      </c>
      <c r="K6" s="6" t="n">
        <v>0.16</v>
      </c>
      <c r="L6" s="6" t="n">
        <v>0.24</v>
      </c>
      <c r="M6" s="6" t="n">
        <v>2.7</v>
      </c>
      <c r="N6" s="6" t="n">
        <v>44</v>
      </c>
      <c r="O6" s="6" t="n">
        <v>0.13</v>
      </c>
      <c r="P6" s="6" t="n">
        <v>4</v>
      </c>
      <c r="Q6" s="6" t="n">
        <v>27.5</v>
      </c>
      <c r="R6" s="6" t="n">
        <v>5.3</v>
      </c>
      <c r="S6" s="6" t="n">
        <v>60</v>
      </c>
      <c r="T6" s="6" t="n">
        <v>4.6</v>
      </c>
      <c r="U6" s="6" t="n">
        <v>3.7</v>
      </c>
      <c r="V6" s="6" t="n">
        <v>2.4</v>
      </c>
      <c r="W6" s="6" t="n">
        <v>3.1</v>
      </c>
      <c r="X6" s="6" t="n">
        <v>73</v>
      </c>
      <c r="Y6" s="6" t="n">
        <v>2</v>
      </c>
      <c r="Z6" s="6" t="n">
        <v>74</v>
      </c>
      <c r="AA6" s="7">
        <f>ROUND((S6*0.25)+(L6*12)+(O6*12)+(N6*0.20)+(F6*2), 2)</f>
        <v/>
      </c>
    </row>
    <row r="7" ht="20" customHeight="1">
      <c r="A7" s="8" t="inlineStr">
        <is>
          <t>T. Sammy</t>
        </is>
      </c>
      <c r="B7" s="8" t="inlineStr">
        <is>
          <t>Longford Town</t>
        </is>
      </c>
      <c r="C7" s="8" t="inlineStr">
        <is>
          <t>W</t>
        </is>
      </c>
      <c r="D7" s="9" t="n">
        <v>23</v>
      </c>
      <c r="E7" s="9" t="n">
        <v>4300</v>
      </c>
      <c r="F7" s="9" t="n">
        <v>8</v>
      </c>
      <c r="G7" s="10" t="n">
        <v>7.5</v>
      </c>
      <c r="H7" s="9" t="n">
        <v>6</v>
      </c>
      <c r="I7" s="10" t="n">
        <v>5.6</v>
      </c>
      <c r="J7" s="10" t="n">
        <v>51</v>
      </c>
      <c r="K7" s="10" t="n">
        <v>0.17</v>
      </c>
      <c r="L7" s="10" t="n">
        <v>0.23</v>
      </c>
      <c r="M7" s="10" t="n">
        <v>2.6</v>
      </c>
      <c r="N7" s="10" t="n">
        <v>43</v>
      </c>
      <c r="O7" s="10" t="n">
        <v>0.13</v>
      </c>
      <c r="P7" s="10" t="n">
        <v>3.9</v>
      </c>
      <c r="Q7" s="10" t="n">
        <v>27</v>
      </c>
      <c r="R7" s="10" t="n">
        <v>5.1</v>
      </c>
      <c r="S7" s="10" t="n">
        <v>59</v>
      </c>
      <c r="T7" s="10" t="n">
        <v>4.4</v>
      </c>
      <c r="U7" s="10" t="n">
        <v>3.5</v>
      </c>
      <c r="V7" s="10" t="n">
        <v>2.3</v>
      </c>
      <c r="W7" s="10" t="n">
        <v>3</v>
      </c>
      <c r="X7" s="10" t="n">
        <v>72</v>
      </c>
      <c r="Y7" s="10" t="n">
        <v>1.9</v>
      </c>
      <c r="Z7" s="10" t="n">
        <v>73</v>
      </c>
      <c r="AA7" s="11">
        <f>ROUND((S7*0.25)+(L7*12)+(O7*12)+(N7*0.20)+(F7*2), 2)</f>
        <v/>
      </c>
    </row>
    <row r="8" ht="20" customHeight="1">
      <c r="A8" s="4" t="inlineStr">
        <is>
          <t>J. Bailey</t>
        </is>
      </c>
      <c r="B8" s="4" t="inlineStr">
        <is>
          <t>UCD</t>
        </is>
      </c>
      <c r="C8" s="4" t="inlineStr">
        <is>
          <t>W</t>
        </is>
      </c>
      <c r="D8" s="5" t="n">
        <v>21</v>
      </c>
      <c r="E8" s="5" t="n">
        <v>4100</v>
      </c>
      <c r="F8" s="5" t="n">
        <v>7</v>
      </c>
      <c r="G8" s="6" t="n">
        <v>6.8</v>
      </c>
      <c r="H8" s="5" t="n">
        <v>5</v>
      </c>
      <c r="I8" s="6" t="n">
        <v>5</v>
      </c>
      <c r="J8" s="6" t="n">
        <v>50</v>
      </c>
      <c r="K8" s="6" t="n">
        <v>0.15</v>
      </c>
      <c r="L8" s="6" t="n">
        <v>0.21</v>
      </c>
      <c r="M8" s="6" t="n">
        <v>2.5</v>
      </c>
      <c r="N8" s="6" t="n">
        <v>42</v>
      </c>
      <c r="O8" s="6" t="n">
        <v>0.11</v>
      </c>
      <c r="P8" s="6" t="n">
        <v>3.7</v>
      </c>
      <c r="Q8" s="6" t="n">
        <v>26</v>
      </c>
      <c r="R8" s="6" t="n">
        <v>4.9</v>
      </c>
      <c r="S8" s="6" t="n">
        <v>57</v>
      </c>
      <c r="T8" s="6" t="n">
        <v>4.2</v>
      </c>
      <c r="U8" s="6" t="n">
        <v>3.3</v>
      </c>
      <c r="V8" s="6" t="n">
        <v>2.2</v>
      </c>
      <c r="W8" s="6" t="n">
        <v>2.8</v>
      </c>
      <c r="X8" s="6" t="n">
        <v>70</v>
      </c>
      <c r="Y8" s="6" t="n">
        <v>1.8</v>
      </c>
      <c r="Z8" s="6" t="n">
        <v>71</v>
      </c>
      <c r="AA8" s="7">
        <f>ROUND((S8*0.25)+(L8*12)+(O8*12)+(N8*0.20)+(F8*2), 2)</f>
        <v/>
      </c>
    </row>
    <row r="9" ht="20" customHeight="1">
      <c r="A9" s="8" t="inlineStr">
        <is>
          <t>A. Oluwabiyi</t>
        </is>
      </c>
      <c r="B9" s="8" t="inlineStr">
        <is>
          <t>Athlone Town</t>
        </is>
      </c>
      <c r="C9" s="8" t="inlineStr">
        <is>
          <t>W</t>
        </is>
      </c>
      <c r="D9" s="9" t="n">
        <v>20</v>
      </c>
      <c r="E9" s="9" t="n">
        <v>3900</v>
      </c>
      <c r="F9" s="9" t="n">
        <v>6</v>
      </c>
      <c r="G9" s="10" t="n">
        <v>6.2</v>
      </c>
      <c r="H9" s="9" t="n">
        <v>5</v>
      </c>
      <c r="I9" s="10" t="n">
        <v>4.8</v>
      </c>
      <c r="J9" s="10" t="n">
        <v>49</v>
      </c>
      <c r="K9" s="10" t="n">
        <v>0.14</v>
      </c>
      <c r="L9" s="10" t="n">
        <v>0.2</v>
      </c>
      <c r="M9" s="10" t="n">
        <v>2.4</v>
      </c>
      <c r="N9" s="10" t="n">
        <v>41</v>
      </c>
      <c r="O9" s="10" t="n">
        <v>0.11</v>
      </c>
      <c r="P9" s="10" t="n">
        <v>3.5</v>
      </c>
      <c r="Q9" s="10" t="n">
        <v>25</v>
      </c>
      <c r="R9" s="10" t="n">
        <v>4.7</v>
      </c>
      <c r="S9" s="10" t="n">
        <v>56</v>
      </c>
      <c r="T9" s="10" t="n">
        <v>4</v>
      </c>
      <c r="U9" s="10" t="n">
        <v>3.1</v>
      </c>
      <c r="V9" s="10" t="n">
        <v>2.1</v>
      </c>
      <c r="W9" s="10" t="n">
        <v>2.6</v>
      </c>
      <c r="X9" s="10" t="n">
        <v>68</v>
      </c>
      <c r="Y9" s="10" t="n">
        <v>1.7</v>
      </c>
      <c r="Z9" s="10" t="n">
        <v>69</v>
      </c>
      <c r="AA9" s="11">
        <f>ROUND((S9*0.25)+(L9*12)+(O9*12)+(N9*0.20)+(F9*2), 2)</f>
        <v/>
      </c>
    </row>
    <row r="10" ht="20" customHeight="1">
      <c r="A10" s="4" t="inlineStr">
        <is>
          <t>C. Bargary</t>
        </is>
      </c>
      <c r="B10" s="4" t="inlineStr">
        <is>
          <t>Treaty United</t>
        </is>
      </c>
      <c r="C10" s="4" t="inlineStr">
        <is>
          <t>W</t>
        </is>
      </c>
      <c r="D10" s="5" t="n">
        <v>24</v>
      </c>
      <c r="E10" s="5" t="n">
        <v>4200</v>
      </c>
      <c r="F10" s="5" t="n">
        <v>6</v>
      </c>
      <c r="G10" s="6" t="n">
        <v>5.9</v>
      </c>
      <c r="H10" s="5" t="n">
        <v>4</v>
      </c>
      <c r="I10" s="6" t="n">
        <v>4.2</v>
      </c>
      <c r="J10" s="6" t="n">
        <v>48</v>
      </c>
      <c r="K10" s="6" t="n">
        <v>0.13</v>
      </c>
      <c r="L10" s="6" t="n">
        <v>0.19</v>
      </c>
      <c r="M10" s="6" t="n">
        <v>2.3</v>
      </c>
      <c r="N10" s="6" t="n">
        <v>40</v>
      </c>
      <c r="O10" s="6" t="n">
        <v>0.09</v>
      </c>
      <c r="P10" s="6" t="n">
        <v>3.4</v>
      </c>
      <c r="Q10" s="6" t="n">
        <v>24.5</v>
      </c>
      <c r="R10" s="6" t="n">
        <v>4.5</v>
      </c>
      <c r="S10" s="6" t="n">
        <v>54</v>
      </c>
      <c r="T10" s="6" t="n">
        <v>3.8</v>
      </c>
      <c r="U10" s="6" t="n">
        <v>2.9</v>
      </c>
      <c r="V10" s="6" t="n">
        <v>2</v>
      </c>
      <c r="W10" s="6" t="n">
        <v>2.5</v>
      </c>
      <c r="X10" s="6" t="n">
        <v>66</v>
      </c>
      <c r="Y10" s="6" t="n">
        <v>1.6</v>
      </c>
      <c r="Z10" s="6" t="n">
        <v>67</v>
      </c>
      <c r="AA10" s="7">
        <f>ROUND((S10*0.25)+(L10*12)+(O10*12)+(N10*0.20)+(F10*2), 2)</f>
        <v/>
      </c>
    </row>
    <row r="11" ht="20" customHeight="1">
      <c r="A11" s="8" t="inlineStr">
        <is>
          <t>D. McGlade</t>
        </is>
      </c>
      <c r="B11" s="8" t="inlineStr">
        <is>
          <t>Cobh Ramblers</t>
        </is>
      </c>
      <c r="C11" s="8" t="inlineStr">
        <is>
          <t>W</t>
        </is>
      </c>
      <c r="D11" s="9" t="n">
        <v>22</v>
      </c>
      <c r="E11" s="9" t="n">
        <v>3800</v>
      </c>
      <c r="F11" s="9" t="n">
        <v>5</v>
      </c>
      <c r="G11" s="10" t="n">
        <v>5.1</v>
      </c>
      <c r="H11" s="9" t="n">
        <v>4</v>
      </c>
      <c r="I11" s="10" t="n">
        <v>3.9</v>
      </c>
      <c r="J11" s="10" t="n">
        <v>47</v>
      </c>
      <c r="K11" s="10" t="n">
        <v>0.12</v>
      </c>
      <c r="L11" s="10" t="n">
        <v>0.17</v>
      </c>
      <c r="M11" s="10" t="n">
        <v>2.2</v>
      </c>
      <c r="N11" s="10" t="n">
        <v>39</v>
      </c>
      <c r="O11" s="10" t="n">
        <v>0.09</v>
      </c>
      <c r="P11" s="10" t="n">
        <v>3.2</v>
      </c>
      <c r="Q11" s="10" t="n">
        <v>23</v>
      </c>
      <c r="R11" s="10" t="n">
        <v>4.3</v>
      </c>
      <c r="S11" s="10" t="n">
        <v>52</v>
      </c>
      <c r="T11" s="10" t="n">
        <v>3.6</v>
      </c>
      <c r="U11" s="10" t="n">
        <v>2.7</v>
      </c>
      <c r="V11" s="10" t="n">
        <v>1.9</v>
      </c>
      <c r="W11" s="10" t="n">
        <v>2.3</v>
      </c>
      <c r="X11" s="10" t="n">
        <v>64</v>
      </c>
      <c r="Y11" s="10" t="n">
        <v>1.5</v>
      </c>
      <c r="Z11" s="10" t="n">
        <v>65</v>
      </c>
      <c r="AA11" s="11">
        <f>ROUND((S11*0.25)+(L11*12)+(O11*12)+(N11*0.20)+(F11*2), 2)</f>
        <v/>
      </c>
    </row>
    <row r="12" ht="20" customHeight="1">
      <c r="A12" s="4" t="inlineStr">
        <is>
          <t>L. Gaxha</t>
        </is>
      </c>
      <c r="B12" s="4" t="inlineStr">
        <is>
          <t>Kerry</t>
        </is>
      </c>
      <c r="C12" s="4" t="inlineStr">
        <is>
          <t>W</t>
        </is>
      </c>
      <c r="D12" s="5" t="n">
        <v>22</v>
      </c>
      <c r="E12" s="5" t="n">
        <v>3600</v>
      </c>
      <c r="F12" s="5" t="n">
        <v>4</v>
      </c>
      <c r="G12" s="6" t="n">
        <v>4.2</v>
      </c>
      <c r="H12" s="5" t="n">
        <v>3</v>
      </c>
      <c r="I12" s="6" t="n">
        <v>3.2</v>
      </c>
      <c r="J12" s="6" t="n">
        <v>46</v>
      </c>
      <c r="K12" s="6" t="n">
        <v>0.1</v>
      </c>
      <c r="L12" s="6" t="n">
        <v>0.15</v>
      </c>
      <c r="M12" s="6" t="n">
        <v>2</v>
      </c>
      <c r="N12" s="6" t="n">
        <v>38</v>
      </c>
      <c r="O12" s="6" t="n">
        <v>0.08</v>
      </c>
      <c r="P12" s="6" t="n">
        <v>3</v>
      </c>
      <c r="Q12" s="6" t="n">
        <v>22</v>
      </c>
      <c r="R12" s="6" t="n">
        <v>4</v>
      </c>
      <c r="S12" s="6" t="n">
        <v>50</v>
      </c>
      <c r="T12" s="6" t="n">
        <v>3.4</v>
      </c>
      <c r="U12" s="6" t="n">
        <v>2.5</v>
      </c>
      <c r="V12" s="6" t="n">
        <v>1.8</v>
      </c>
      <c r="W12" s="6" t="n">
        <v>2.1</v>
      </c>
      <c r="X12" s="6" t="n">
        <v>62</v>
      </c>
      <c r="Y12" s="6" t="n">
        <v>1.4</v>
      </c>
      <c r="Z12" s="6" t="n">
        <v>63</v>
      </c>
      <c r="AA12" s="7">
        <f>ROUND((S12*0.25)+(L12*12)+(O12*12)+(N12*0.20)+(F12*2), 2)</f>
        <v/>
      </c>
    </row>
    <row r="13" ht="20" customHeight="1">
      <c r="A13" s="8" t="inlineStr">
        <is>
          <t>D. Adewale</t>
        </is>
      </c>
      <c r="B13" s="8" t="inlineStr">
        <is>
          <t>Bray Wanderers</t>
        </is>
      </c>
      <c r="C13" s="8" t="inlineStr">
        <is>
          <t>W</t>
        </is>
      </c>
      <c r="D13" s="9" t="n">
        <v>20</v>
      </c>
      <c r="E13" s="9" t="n">
        <v>2200</v>
      </c>
      <c r="F13" s="9" t="n">
        <v>2</v>
      </c>
      <c r="G13" s="10" t="n">
        <v>2.1</v>
      </c>
      <c r="H13" s="9" t="n">
        <v>1</v>
      </c>
      <c r="I13" s="10" t="n">
        <v>1.8</v>
      </c>
      <c r="J13" s="10" t="n">
        <v>42</v>
      </c>
      <c r="K13" s="10" t="n">
        <v>0.08</v>
      </c>
      <c r="L13" s="10" t="n">
        <v>0.1</v>
      </c>
      <c r="M13" s="10" t="n">
        <v>1.6</v>
      </c>
      <c r="N13" s="10" t="n">
        <v>32</v>
      </c>
      <c r="O13" s="10" t="n">
        <v>0.05</v>
      </c>
      <c r="P13" s="10" t="n">
        <v>2.2</v>
      </c>
      <c r="Q13" s="10" t="n">
        <v>18</v>
      </c>
      <c r="R13" s="10" t="n">
        <v>3</v>
      </c>
      <c r="S13" s="10" t="n">
        <v>42</v>
      </c>
      <c r="T13" s="10" t="n">
        <v>2.5</v>
      </c>
      <c r="U13" s="10" t="n">
        <v>1.8</v>
      </c>
      <c r="V13" s="10" t="n">
        <v>1.4</v>
      </c>
      <c r="W13" s="10" t="n">
        <v>1.5</v>
      </c>
      <c r="X13" s="10" t="n">
        <v>55</v>
      </c>
      <c r="Y13" s="10" t="n">
        <v>0.9</v>
      </c>
      <c r="Z13" s="10" t="n">
        <v>56</v>
      </c>
      <c r="AA13" s="11">
        <f>ROUND((S13*0.25)+(L13*12)+(O13*12)+(N13*0.20)+(F13*2),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3"/>
  <sheetViews>
    <sheetView workbookViewId="0">
      <selection activeCell="A1" sqref="A1"/>
    </sheetView>
  </sheetViews>
  <sheetFormatPr baseColWidth="8" defaultRowHeight="15"/>
  <cols>
    <col width="115" customWidth="1" min="1" max="1"/>
    <col width="18" customWidth="1" min="2" max="2"/>
    <col width="12" customWidth="1" min="3" max="3"/>
    <col width="12" customWidth="1" min="4" max="4"/>
    <col width="20" customWidth="1" min="5" max="5"/>
    <col width="18" customWidth="1" min="6" max="6"/>
    <col width="12" customWidth="1" min="7" max="7"/>
    <col width="12" customWidth="1" min="8" max="8"/>
    <col width="26" customWidth="1" min="9" max="9"/>
    <col width="23" customWidth="1" min="10" max="10"/>
    <col width="16" customWidth="1" min="11" max="11"/>
    <col width="28" customWidth="1" min="12" max="12"/>
    <col width="13" customWidth="1" min="13" max="13"/>
    <col width="16" customWidth="1" min="14" max="14"/>
    <col width="22" customWidth="1" min="15" max="15"/>
    <col width="22" customWidth="1" min="16" max="16"/>
    <col width="18" customWidth="1" min="17" max="17"/>
    <col width="13" customWidth="1" min="18" max="18"/>
    <col width="26" customWidth="1" min="19" max="19"/>
    <col width="25" customWidth="1" min="20" max="20"/>
    <col width="27" customWidth="1" min="21" max="21"/>
    <col width="31" customWidth="1" min="22" max="22"/>
    <col width="25" customWidth="1" min="23" max="23"/>
    <col width="63" customWidth="1" min="24" max="24"/>
  </cols>
  <sheetData>
    <row r="1">
      <c r="A1" s="1" t="inlineStr">
        <is>
          <t>Kerry FC Scouting Database - Center Forwards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Team</t>
        </is>
      </c>
      <c r="C3" s="3" t="inlineStr">
        <is>
          <t>Position</t>
        </is>
      </c>
      <c r="D3" s="3" t="inlineStr">
        <is>
          <t>Age</t>
        </is>
      </c>
      <c r="E3" s="3" t="inlineStr">
        <is>
          <t>Contract expires</t>
        </is>
      </c>
      <c r="F3" s="3" t="inlineStr">
        <is>
          <t>Minutes played</t>
        </is>
      </c>
      <c r="G3" s="3" t="inlineStr">
        <is>
          <t>Goals</t>
        </is>
      </c>
      <c r="H3" s="3" t="inlineStr">
        <is>
          <t>xG</t>
        </is>
      </c>
      <c r="I3" s="3" t="inlineStr">
        <is>
          <t>Defensive duels won, %</t>
        </is>
      </c>
      <c r="J3" s="3" t="inlineStr">
        <is>
          <t>Aerial duels won, %</t>
        </is>
      </c>
      <c r="K3" s="3" t="inlineStr">
        <is>
          <t>Goals per 90</t>
        </is>
      </c>
      <c r="L3" s="3" t="inlineStr">
        <is>
          <t>Non-penalty goals per 90</t>
        </is>
      </c>
      <c r="M3" s="3" t="inlineStr">
        <is>
          <t>xG per 90</t>
        </is>
      </c>
      <c r="N3" s="3" t="inlineStr">
        <is>
          <t>Shots per 90</t>
        </is>
      </c>
      <c r="O3" s="3" t="inlineStr">
        <is>
          <t>Shots on target, %</t>
        </is>
      </c>
      <c r="P3" s="3" t="inlineStr">
        <is>
          <t>Goal conversion, %</t>
        </is>
      </c>
      <c r="Q3" s="3" t="inlineStr">
        <is>
          <t>Assists per 90</t>
        </is>
      </c>
      <c r="R3" s="3" t="inlineStr">
        <is>
          <t>xA per 90</t>
        </is>
      </c>
      <c r="S3" s="3" t="inlineStr">
        <is>
          <t>Offensive duels won, %</t>
        </is>
      </c>
      <c r="T3" s="3" t="inlineStr">
        <is>
          <t>Touches in box per 90</t>
        </is>
      </c>
      <c r="U3" s="3" t="inlineStr">
        <is>
          <t>Progressive runs per 90</t>
        </is>
      </c>
      <c r="V3" s="3" t="inlineStr">
        <is>
          <t>Received long passes per 90</t>
        </is>
      </c>
      <c r="W3" s="3" t="inlineStr">
        <is>
          <t>Fouls suffered per 90</t>
        </is>
      </c>
      <c r="X3" s="3" t="inlineStr">
        <is>
          <t>Composite Score</t>
        </is>
      </c>
    </row>
    <row r="4" ht="20" customHeight="1">
      <c r="A4" s="4" t="inlineStr">
        <is>
          <t>H. Smith</t>
        </is>
      </c>
      <c r="B4" s="4" t="inlineStr">
        <is>
          <t>UCD</t>
        </is>
      </c>
      <c r="C4" s="4" t="inlineStr">
        <is>
          <t>CF</t>
        </is>
      </c>
      <c r="D4" s="5" t="n">
        <v>23</v>
      </c>
      <c r="E4" s="4" t="inlineStr">
        <is>
          <t>2026-11-30</t>
        </is>
      </c>
      <c r="F4" s="5" t="n">
        <v>4800</v>
      </c>
      <c r="G4" s="5" t="n">
        <v>20</v>
      </c>
      <c r="H4" s="6" t="n">
        <v>17.5</v>
      </c>
      <c r="I4" s="6" t="n">
        <v>48</v>
      </c>
      <c r="J4" s="6" t="n">
        <v>62</v>
      </c>
      <c r="K4" s="6" t="n">
        <v>0.38</v>
      </c>
      <c r="L4" s="6" t="n">
        <v>0.35</v>
      </c>
      <c r="M4" s="6" t="n">
        <v>0.39</v>
      </c>
      <c r="N4" s="6" t="n">
        <v>3.8</v>
      </c>
      <c r="O4" s="6" t="n">
        <v>50</v>
      </c>
      <c r="P4" s="6" t="n">
        <v>24.5</v>
      </c>
      <c r="Q4" s="6" t="n">
        <v>0.12</v>
      </c>
      <c r="R4" s="6" t="n">
        <v>0.14</v>
      </c>
      <c r="S4" s="6" t="n">
        <v>48</v>
      </c>
      <c r="T4" s="6" t="n">
        <v>6.2</v>
      </c>
      <c r="U4" s="6" t="n">
        <v>2.4</v>
      </c>
      <c r="V4" s="6" t="n">
        <v>1.8</v>
      </c>
      <c r="W4" s="6" t="n">
        <v>3</v>
      </c>
      <c r="X4" s="7">
        <f>ROUND((P4*0.30)+(M4*15)+(J4*0.20)+(G4*3)+(T4*1.5), 2)</f>
        <v/>
      </c>
    </row>
    <row r="5" ht="20" customHeight="1">
      <c r="A5" s="8" t="inlineStr">
        <is>
          <t>R. Keating</t>
        </is>
      </c>
      <c r="B5" s="8" t="inlineStr">
        <is>
          <t>Cork City</t>
        </is>
      </c>
      <c r="C5" s="8" t="inlineStr">
        <is>
          <t>CF</t>
        </is>
      </c>
      <c r="D5" s="9" t="n">
        <v>31</v>
      </c>
      <c r="E5" s="8" t="inlineStr">
        <is>
          <t>2026-11-30</t>
        </is>
      </c>
      <c r="F5" s="9" t="n">
        <v>5100</v>
      </c>
      <c r="G5" s="9" t="n">
        <v>18</v>
      </c>
      <c r="H5" s="10" t="n">
        <v>16.2</v>
      </c>
      <c r="I5" s="10" t="n">
        <v>50</v>
      </c>
      <c r="J5" s="10" t="n">
        <v>60</v>
      </c>
      <c r="K5" s="10" t="n">
        <v>0.33</v>
      </c>
      <c r="L5" s="10" t="n">
        <v>0.31</v>
      </c>
      <c r="M5" s="10" t="n">
        <v>0.35</v>
      </c>
      <c r="N5" s="10" t="n">
        <v>3.6</v>
      </c>
      <c r="O5" s="10" t="n">
        <v>48</v>
      </c>
      <c r="P5" s="10" t="n">
        <v>23</v>
      </c>
      <c r="Q5" s="10" t="n">
        <v>0.1</v>
      </c>
      <c r="R5" s="10" t="n">
        <v>0.12</v>
      </c>
      <c r="S5" s="10" t="n">
        <v>46</v>
      </c>
      <c r="T5" s="10" t="n">
        <v>5.8</v>
      </c>
      <c r="U5" s="10" t="n">
        <v>2.2</v>
      </c>
      <c r="V5" s="10" t="n">
        <v>1.6</v>
      </c>
      <c r="W5" s="10" t="n">
        <v>2.8</v>
      </c>
      <c r="X5" s="11">
        <f>ROUND((P5*0.30)+(M5*15)+(J5*0.20)+(G5*3)+(T5*1.5), 2)</f>
        <v/>
      </c>
    </row>
    <row r="6" ht="20" customHeight="1">
      <c r="A6" s="4" t="inlineStr">
        <is>
          <t>S. Ugbesia</t>
        </is>
      </c>
      <c r="B6" s="4" t="inlineStr">
        <is>
          <t>Bray Wanderers</t>
        </is>
      </c>
      <c r="C6" s="4" t="inlineStr">
        <is>
          <t>CF</t>
        </is>
      </c>
      <c r="D6" s="5" t="n">
        <v>21</v>
      </c>
      <c r="E6" s="4" t="inlineStr">
        <is>
          <t>None</t>
        </is>
      </c>
      <c r="F6" s="5" t="n">
        <v>4200</v>
      </c>
      <c r="G6" s="5" t="n">
        <v>13</v>
      </c>
      <c r="H6" s="6" t="n">
        <v>11.8</v>
      </c>
      <c r="I6" s="6" t="n">
        <v>46</v>
      </c>
      <c r="J6" s="6" t="n">
        <v>56</v>
      </c>
      <c r="K6" s="6" t="n">
        <v>0.28</v>
      </c>
      <c r="L6" s="6" t="n">
        <v>0.26</v>
      </c>
      <c r="M6" s="6" t="n">
        <v>0.29</v>
      </c>
      <c r="N6" s="6" t="n">
        <v>3.2</v>
      </c>
      <c r="O6" s="6" t="n">
        <v>45</v>
      </c>
      <c r="P6" s="6" t="n">
        <v>20.5</v>
      </c>
      <c r="Q6" s="6" t="n">
        <v>0.08</v>
      </c>
      <c r="R6" s="6" t="n">
        <v>0.1</v>
      </c>
      <c r="S6" s="6" t="n">
        <v>43</v>
      </c>
      <c r="T6" s="6" t="n">
        <v>5.2</v>
      </c>
      <c r="U6" s="6" t="n">
        <v>2</v>
      </c>
      <c r="V6" s="6" t="n">
        <v>1.4</v>
      </c>
      <c r="W6" s="6" t="n">
        <v>2.5</v>
      </c>
      <c r="X6" s="7">
        <f>ROUND((P6*0.30)+(M6*15)+(J6*0.20)+(G6*3)+(T6*1.5), 2)</f>
        <v/>
      </c>
    </row>
    <row r="7" ht="20" customHeight="1">
      <c r="A7" s="8" t="inlineStr">
        <is>
          <t>R. Kelliher</t>
        </is>
      </c>
      <c r="B7" s="8" t="inlineStr">
        <is>
          <t>Kerry</t>
        </is>
      </c>
      <c r="C7" s="8" t="inlineStr">
        <is>
          <t>CF</t>
        </is>
      </c>
      <c r="D7" s="9" t="n">
        <v>22</v>
      </c>
      <c r="E7" s="8" t="inlineStr">
        <is>
          <t>2026-11-30</t>
        </is>
      </c>
      <c r="F7" s="9" t="n">
        <v>3900</v>
      </c>
      <c r="G7" s="9" t="n">
        <v>10</v>
      </c>
      <c r="H7" s="10" t="n">
        <v>9.199999999999999</v>
      </c>
      <c r="I7" s="10" t="n">
        <v>45</v>
      </c>
      <c r="J7" s="10" t="n">
        <v>54</v>
      </c>
      <c r="K7" s="10" t="n">
        <v>0.23</v>
      </c>
      <c r="L7" s="10" t="n">
        <v>0.21</v>
      </c>
      <c r="M7" s="10" t="n">
        <v>0.24</v>
      </c>
      <c r="N7" s="10" t="n">
        <v>2.9</v>
      </c>
      <c r="O7" s="10" t="n">
        <v>42</v>
      </c>
      <c r="P7" s="10" t="n">
        <v>18.2</v>
      </c>
      <c r="Q7" s="10" t="n">
        <v>0.07000000000000001</v>
      </c>
      <c r="R7" s="10" t="n">
        <v>0.09</v>
      </c>
      <c r="S7" s="10" t="n">
        <v>41</v>
      </c>
      <c r="T7" s="10" t="n">
        <v>4.6</v>
      </c>
      <c r="U7" s="10" t="n">
        <v>1.8</v>
      </c>
      <c r="V7" s="10" t="n">
        <v>1.3</v>
      </c>
      <c r="W7" s="10" t="n">
        <v>2.2</v>
      </c>
      <c r="X7" s="11">
        <f>ROUND((P7*0.30)+(M7*15)+(J7*0.20)+(G7*3)+(T7*1.5), 2)</f>
        <v/>
      </c>
    </row>
    <row r="8" ht="20" customHeight="1">
      <c r="A8" s="4" t="inlineStr">
        <is>
          <t>E. Mustali</t>
        </is>
      </c>
      <c r="B8" s="4" t="inlineStr">
        <is>
          <t>Cobh Ramblers</t>
        </is>
      </c>
      <c r="C8" s="4" t="inlineStr">
        <is>
          <t>CF</t>
        </is>
      </c>
      <c r="D8" s="5" t="n">
        <v>20</v>
      </c>
      <c r="E8" s="4" t="inlineStr">
        <is>
          <t>None</t>
        </is>
      </c>
      <c r="F8" s="5" t="n">
        <v>3600</v>
      </c>
      <c r="G8" s="5" t="n">
        <v>9</v>
      </c>
      <c r="H8" s="6" t="n">
        <v>8.5</v>
      </c>
      <c r="I8" s="6" t="n">
        <v>44</v>
      </c>
      <c r="J8" s="6" t="n">
        <v>52</v>
      </c>
      <c r="K8" s="6" t="n">
        <v>0.22</v>
      </c>
      <c r="L8" s="6" t="n">
        <v>0.2</v>
      </c>
      <c r="M8" s="6" t="n">
        <v>0.23</v>
      </c>
      <c r="N8" s="6" t="n">
        <v>2.8</v>
      </c>
      <c r="O8" s="6" t="n">
        <v>40</v>
      </c>
      <c r="P8" s="6" t="n">
        <v>17</v>
      </c>
      <c r="Q8" s="6" t="n">
        <v>0.06</v>
      </c>
      <c r="R8" s="6" t="n">
        <v>0.08</v>
      </c>
      <c r="S8" s="6" t="n">
        <v>40</v>
      </c>
      <c r="T8" s="6" t="n">
        <v>4.4</v>
      </c>
      <c r="U8" s="6" t="n">
        <v>1.7</v>
      </c>
      <c r="V8" s="6" t="n">
        <v>1.2</v>
      </c>
      <c r="W8" s="6" t="n">
        <v>2.1</v>
      </c>
      <c r="X8" s="7">
        <f>ROUND((P8*0.30)+(M8*15)+(J8*0.20)+(G8*3)+(T8*1.5), 2)</f>
        <v/>
      </c>
    </row>
    <row r="9" ht="20" customHeight="1">
      <c r="A9" s="8" t="inlineStr">
        <is>
          <t>P. Grogan</t>
        </is>
      </c>
      <c r="B9" s="8" t="inlineStr">
        <is>
          <t>Treaty United</t>
        </is>
      </c>
      <c r="C9" s="8" t="inlineStr">
        <is>
          <t>CF</t>
        </is>
      </c>
      <c r="D9" s="9" t="n">
        <v>24</v>
      </c>
      <c r="E9" s="8" t="inlineStr">
        <is>
          <t>2026-11-30</t>
        </is>
      </c>
      <c r="F9" s="9" t="n">
        <v>3200</v>
      </c>
      <c r="G9" s="9" t="n">
        <v>7</v>
      </c>
      <c r="H9" s="10" t="n">
        <v>6.8</v>
      </c>
      <c r="I9" s="10" t="n">
        <v>42</v>
      </c>
      <c r="J9" s="10" t="n">
        <v>50</v>
      </c>
      <c r="K9" s="10" t="n">
        <v>0.2</v>
      </c>
      <c r="L9" s="10" t="n">
        <v>0.18</v>
      </c>
      <c r="M9" s="10" t="n">
        <v>0.21</v>
      </c>
      <c r="N9" s="10" t="n">
        <v>2.6</v>
      </c>
      <c r="O9" s="10" t="n">
        <v>38</v>
      </c>
      <c r="P9" s="10" t="n">
        <v>15.5</v>
      </c>
      <c r="Q9" s="10" t="n">
        <v>0.05</v>
      </c>
      <c r="R9" s="10" t="n">
        <v>0.07000000000000001</v>
      </c>
      <c r="S9" s="10" t="n">
        <v>38</v>
      </c>
      <c r="T9" s="10" t="n">
        <v>4</v>
      </c>
      <c r="U9" s="10" t="n">
        <v>1.5</v>
      </c>
      <c r="V9" s="10" t="n">
        <v>1.1</v>
      </c>
      <c r="W9" s="10" t="n">
        <v>1.9</v>
      </c>
      <c r="X9" s="11">
        <f>ROUND((P9*0.30)+(M9*15)+(J9*0.20)+(G9*3)+(T9*1.5), 2)</f>
        <v/>
      </c>
    </row>
    <row r="10" ht="20" customHeight="1">
      <c r="A10" s="4" t="inlineStr">
        <is>
          <t>D. Murtagh</t>
        </is>
      </c>
      <c r="B10" s="4" t="inlineStr">
        <is>
          <t>Athlone Town</t>
        </is>
      </c>
      <c r="C10" s="4" t="inlineStr">
        <is>
          <t>CF</t>
        </is>
      </c>
      <c r="D10" s="5" t="n">
        <v>21</v>
      </c>
      <c r="E10" s="4" t="inlineStr">
        <is>
          <t>None</t>
        </is>
      </c>
      <c r="F10" s="5" t="n">
        <v>2800</v>
      </c>
      <c r="G10" s="5" t="n">
        <v>5</v>
      </c>
      <c r="H10" s="6" t="n">
        <v>5.2</v>
      </c>
      <c r="I10" s="6" t="n">
        <v>40</v>
      </c>
      <c r="J10" s="6" t="n">
        <v>48</v>
      </c>
      <c r="K10" s="6" t="n">
        <v>0.16</v>
      </c>
      <c r="L10" s="6" t="n">
        <v>0.15</v>
      </c>
      <c r="M10" s="6" t="n">
        <v>0.18</v>
      </c>
      <c r="N10" s="6" t="n">
        <v>2.3</v>
      </c>
      <c r="O10" s="6" t="n">
        <v>35</v>
      </c>
      <c r="P10" s="6" t="n">
        <v>14</v>
      </c>
      <c r="Q10" s="6" t="n">
        <v>0.04</v>
      </c>
      <c r="R10" s="6" t="n">
        <v>0.06</v>
      </c>
      <c r="S10" s="6" t="n">
        <v>36</v>
      </c>
      <c r="T10" s="6" t="n">
        <v>3.6</v>
      </c>
      <c r="U10" s="6" t="n">
        <v>1.3</v>
      </c>
      <c r="V10" s="6" t="n">
        <v>1</v>
      </c>
      <c r="W10" s="6" t="n">
        <v>1.7</v>
      </c>
      <c r="X10" s="7">
        <f>ROUND((P10*0.30)+(M10*15)+(J10*0.20)+(G10*3)+(T10*1.5), 2)</f>
        <v/>
      </c>
    </row>
    <row r="11" ht="20" customHeight="1">
      <c r="A11" s="8" t="inlineStr">
        <is>
          <t>C. Curtis</t>
        </is>
      </c>
      <c r="B11" s="8" t="inlineStr">
        <is>
          <t>Longford Town</t>
        </is>
      </c>
      <c r="C11" s="8" t="inlineStr">
        <is>
          <t>CF</t>
        </is>
      </c>
      <c r="D11" s="9" t="n">
        <v>22</v>
      </c>
      <c r="E11" s="8" t="inlineStr">
        <is>
          <t>None</t>
        </is>
      </c>
      <c r="F11" s="9" t="n">
        <v>2600</v>
      </c>
      <c r="G11" s="9" t="n">
        <v>5</v>
      </c>
      <c r="H11" s="10" t="n">
        <v>4.9</v>
      </c>
      <c r="I11" s="10" t="n">
        <v>39</v>
      </c>
      <c r="J11" s="10" t="n">
        <v>47</v>
      </c>
      <c r="K11" s="10" t="n">
        <v>0.15</v>
      </c>
      <c r="L11" s="10" t="n">
        <v>0.14</v>
      </c>
      <c r="M11" s="10" t="n">
        <v>0.17</v>
      </c>
      <c r="N11" s="10" t="n">
        <v>2.2</v>
      </c>
      <c r="O11" s="10" t="n">
        <v>34</v>
      </c>
      <c r="P11" s="10" t="n">
        <v>13.5</v>
      </c>
      <c r="Q11" s="10" t="n">
        <v>0.04</v>
      </c>
      <c r="R11" s="10" t="n">
        <v>0.05</v>
      </c>
      <c r="S11" s="10" t="n">
        <v>35</v>
      </c>
      <c r="T11" s="10" t="n">
        <v>3.5</v>
      </c>
      <c r="U11" s="10" t="n">
        <v>1.2</v>
      </c>
      <c r="V11" s="10" t="n">
        <v>0.9</v>
      </c>
      <c r="W11" s="10" t="n">
        <v>1.6</v>
      </c>
      <c r="X11" s="11">
        <f>ROUND((P11*0.30)+(M11*15)+(J11*0.20)+(G11*3)+(T11*1.5), 2)</f>
        <v/>
      </c>
    </row>
    <row r="12" ht="20" customHeight="1">
      <c r="A12" s="4" t="inlineStr">
        <is>
          <t>C. Tollett</t>
        </is>
      </c>
      <c r="B12" s="4" t="inlineStr">
        <is>
          <t>Wexford</t>
        </is>
      </c>
      <c r="C12" s="4" t="inlineStr">
        <is>
          <t>CF</t>
        </is>
      </c>
      <c r="D12" s="5" t="n">
        <v>20</v>
      </c>
      <c r="E12" s="4" t="inlineStr">
        <is>
          <t>None</t>
        </is>
      </c>
      <c r="F12" s="5" t="n">
        <v>2100</v>
      </c>
      <c r="G12" s="5" t="n">
        <v>3</v>
      </c>
      <c r="H12" s="6" t="n">
        <v>3.5</v>
      </c>
      <c r="I12" s="6" t="n">
        <v>37</v>
      </c>
      <c r="J12" s="6" t="n">
        <v>44</v>
      </c>
      <c r="K12" s="6" t="n">
        <v>0.13</v>
      </c>
      <c r="L12" s="6" t="n">
        <v>0.12</v>
      </c>
      <c r="M12" s="6" t="n">
        <v>0.15</v>
      </c>
      <c r="N12" s="6" t="n">
        <v>1.9</v>
      </c>
      <c r="O12" s="6" t="n">
        <v>32</v>
      </c>
      <c r="P12" s="6" t="n">
        <v>11.8</v>
      </c>
      <c r="Q12" s="6" t="n">
        <v>0.03</v>
      </c>
      <c r="R12" s="6" t="n">
        <v>0.04</v>
      </c>
      <c r="S12" s="6" t="n">
        <v>33</v>
      </c>
      <c r="T12" s="6" t="n">
        <v>3</v>
      </c>
      <c r="U12" s="6" t="n">
        <v>1</v>
      </c>
      <c r="V12" s="6" t="n">
        <v>0.8</v>
      </c>
      <c r="W12" s="6" t="n">
        <v>1.4</v>
      </c>
      <c r="X12" s="7">
        <f>ROUND((P12*0.30)+(M12*15)+(J12*0.20)+(G12*3)+(T12*1.5), 2)</f>
        <v/>
      </c>
    </row>
    <row r="13" ht="20" customHeight="1">
      <c r="A13" s="8" t="inlineStr">
        <is>
          <t>N. Lumingo</t>
        </is>
      </c>
      <c r="B13" s="8" t="inlineStr">
        <is>
          <t>Finn Harps</t>
        </is>
      </c>
      <c r="C13" s="8" t="inlineStr">
        <is>
          <t>CF</t>
        </is>
      </c>
      <c r="D13" s="9" t="n">
        <v>19</v>
      </c>
      <c r="E13" s="8" t="inlineStr">
        <is>
          <t>None</t>
        </is>
      </c>
      <c r="F13" s="9" t="n">
        <v>1400</v>
      </c>
      <c r="G13" s="9" t="n">
        <v>1</v>
      </c>
      <c r="H13" s="10" t="n">
        <v>1.8</v>
      </c>
      <c r="I13" s="10" t="n">
        <v>32</v>
      </c>
      <c r="J13" s="10" t="n">
        <v>38</v>
      </c>
      <c r="K13" s="10" t="n">
        <v>0.06</v>
      </c>
      <c r="L13" s="10" t="n">
        <v>0.06</v>
      </c>
      <c r="M13" s="10" t="n">
        <v>0.11</v>
      </c>
      <c r="N13" s="10" t="n">
        <v>1.4</v>
      </c>
      <c r="O13" s="10" t="n">
        <v>26</v>
      </c>
      <c r="P13" s="10" t="n">
        <v>8</v>
      </c>
      <c r="Q13" s="10" t="n">
        <v>0.02</v>
      </c>
      <c r="R13" s="10" t="n">
        <v>0.02</v>
      </c>
      <c r="S13" s="10" t="n">
        <v>28</v>
      </c>
      <c r="T13" s="10" t="n">
        <v>2</v>
      </c>
      <c r="U13" s="10" t="n">
        <v>0.7</v>
      </c>
      <c r="V13" s="10" t="n">
        <v>0.5</v>
      </c>
      <c r="W13" s="10" t="n">
        <v>1</v>
      </c>
      <c r="X13" s="11">
        <f>ROUND((P13*0.30)+(M13*15)+(J13*0.20)+(G13*3)+(T13*1.5),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1"/>
  <sheetViews>
    <sheetView workbookViewId="0">
      <selection activeCell="A1" sqref="A1"/>
    </sheetView>
  </sheetViews>
  <sheetFormatPr baseColWidth="8" defaultRowHeight="15"/>
  <cols>
    <col width="115" customWidth="1" min="1" max="1"/>
    <col width="12" customWidth="1" min="2" max="2"/>
    <col width="18" customWidth="1" min="3" max="3"/>
    <col width="23" customWidth="1" min="4" max="4"/>
    <col width="23" customWidth="1" min="5" max="5"/>
    <col width="17" customWidth="1" min="6" max="6"/>
    <col width="22" customWidth="1" min="7" max="7"/>
    <col width="27" customWidth="1" min="8" max="8"/>
    <col width="29" customWidth="1" min="9" max="9"/>
    <col width="18" customWidth="1" min="10" max="10"/>
    <col width="25" customWidth="1" min="11" max="11"/>
    <col width="17" customWidth="1" min="12" max="12"/>
    <col width="24" customWidth="1" min="13" max="13"/>
    <col width="16" customWidth="1" min="14" max="14"/>
    <col width="16" customWidth="1" min="15" max="15"/>
    <col width="14" customWidth="1" min="16" max="16"/>
    <col width="21" customWidth="1" min="17" max="17"/>
    <col width="19" customWidth="1" min="18" max="18"/>
    <col width="26" customWidth="1" min="19" max="19"/>
    <col width="53" customWidth="1" min="20" max="20"/>
  </cols>
  <sheetData>
    <row r="1">
      <c r="A1" s="1" t="inlineStr">
        <is>
          <t>Kerry FC Scouting Database - Goalkeepers</t>
        </is>
      </c>
    </row>
    <row r="2">
      <c r="A2" s="2" t="inlineStr">
        <is>
          <t>Note: Composite Score is calculated automatically via Excel formula referencing underlying performance metrics.</t>
        </is>
      </c>
    </row>
    <row r="3" ht="24" customHeight="1">
      <c r="A3" s="3" t="inlineStr">
        <is>
          <t>Player</t>
        </is>
      </c>
      <c r="B3" s="3" t="inlineStr">
        <is>
          <t>Age</t>
        </is>
      </c>
      <c r="C3" s="3" t="inlineStr">
        <is>
          <t>Minutes played</t>
        </is>
      </c>
      <c r="D3" s="3" t="inlineStr">
        <is>
          <t>Aerial duels per 90</t>
        </is>
      </c>
      <c r="E3" s="3" t="inlineStr">
        <is>
          <t>Aerial duels won, %</t>
        </is>
      </c>
      <c r="F3" s="3" t="inlineStr">
        <is>
          <t>Passes per 90</t>
        </is>
      </c>
      <c r="G3" s="3" t="inlineStr">
        <is>
          <t>Accurate passes, %</t>
        </is>
      </c>
      <c r="H3" s="3" t="inlineStr">
        <is>
          <t>Accurate long passes, %</t>
        </is>
      </c>
      <c r="I3" s="3" t="inlineStr">
        <is>
          <t>Progressive passes per 90</t>
        </is>
      </c>
      <c r="J3" s="3" t="inlineStr">
        <is>
          <t>Conceded goals</t>
        </is>
      </c>
      <c r="K3" s="3" t="inlineStr">
        <is>
          <t>Conceded goals per 90</t>
        </is>
      </c>
      <c r="L3" s="3" t="inlineStr">
        <is>
          <t>Shots against</t>
        </is>
      </c>
      <c r="M3" s="3" t="inlineStr">
        <is>
          <t>Shots against per 90</t>
        </is>
      </c>
      <c r="N3" s="3" t="inlineStr">
        <is>
          <t>Clean sheets</t>
        </is>
      </c>
      <c r="O3" s="3" t="inlineStr">
        <is>
          <t>Save rate, %</t>
        </is>
      </c>
      <c r="P3" s="3" t="inlineStr">
        <is>
          <t>xG against</t>
        </is>
      </c>
      <c r="Q3" s="3" t="inlineStr">
        <is>
          <t>xG against per 90</t>
        </is>
      </c>
      <c r="R3" s="3" t="inlineStr">
        <is>
          <t>Prevented goals</t>
        </is>
      </c>
      <c r="S3" s="3" t="inlineStr">
        <is>
          <t>Prevented goals per 90</t>
        </is>
      </c>
      <c r="T3" s="3" t="inlineStr">
        <is>
          <t>Composite Score</t>
        </is>
      </c>
    </row>
    <row r="4" ht="20" customHeight="1">
      <c r="A4" s="4" t="inlineStr">
        <is>
          <t>C. Brann</t>
        </is>
      </c>
      <c r="B4" s="5" t="n">
        <v>25</v>
      </c>
      <c r="C4" s="5" t="n">
        <v>4900</v>
      </c>
      <c r="D4" s="6" t="n">
        <v>0.5</v>
      </c>
      <c r="E4" s="6" t="n">
        <v>90</v>
      </c>
      <c r="F4" s="6" t="n">
        <v>25</v>
      </c>
      <c r="G4" s="6" t="n">
        <v>82</v>
      </c>
      <c r="H4" s="6" t="n">
        <v>68</v>
      </c>
      <c r="I4" s="6" t="n">
        <v>5.2</v>
      </c>
      <c r="J4" s="5" t="n">
        <v>32</v>
      </c>
      <c r="K4" s="6" t="n">
        <v>0.59</v>
      </c>
      <c r="L4" s="5" t="n">
        <v>140</v>
      </c>
      <c r="M4" s="6" t="n">
        <v>2.57</v>
      </c>
      <c r="N4" s="5" t="n">
        <v>18</v>
      </c>
      <c r="O4" s="6" t="n">
        <v>78.5</v>
      </c>
      <c r="P4" s="6" t="n">
        <v>35</v>
      </c>
      <c r="Q4" s="6" t="n">
        <v>0.64</v>
      </c>
      <c r="R4" s="6" t="n">
        <v>4.5</v>
      </c>
      <c r="S4" s="6" t="n">
        <v>0.09</v>
      </c>
      <c r="T4" s="7">
        <f>ROUND((O4*0.40)+(H4*0.30)+(S4*15)+(N4*2), 2)</f>
        <v/>
      </c>
    </row>
    <row r="5" ht="20" customHeight="1">
      <c r="A5" s="8" t="inlineStr">
        <is>
          <t>P. Martin</t>
        </is>
      </c>
      <c r="B5" s="9" t="n">
        <v>27</v>
      </c>
      <c r="C5" s="9" t="n">
        <v>5599</v>
      </c>
      <c r="D5" s="10" t="n">
        <v>0.71</v>
      </c>
      <c r="E5" s="10" t="n">
        <v>88.64</v>
      </c>
      <c r="F5" s="10" t="n">
        <v>23.55</v>
      </c>
      <c r="G5" s="10" t="n">
        <v>80</v>
      </c>
      <c r="H5" s="10" t="n">
        <v>64</v>
      </c>
      <c r="I5" s="10" t="n">
        <v>4.8</v>
      </c>
      <c r="J5" s="9" t="n">
        <v>35</v>
      </c>
      <c r="K5" s="10" t="n">
        <v>0.61</v>
      </c>
      <c r="L5" s="9" t="n">
        <v>145</v>
      </c>
      <c r="M5" s="10" t="n">
        <v>2.51</v>
      </c>
      <c r="N5" s="9" t="n">
        <v>16</v>
      </c>
      <c r="O5" s="10" t="n">
        <v>76</v>
      </c>
      <c r="P5" s="10" t="n">
        <v>36.5</v>
      </c>
      <c r="Q5" s="10" t="n">
        <v>0.63</v>
      </c>
      <c r="R5" s="10" t="n">
        <v>4</v>
      </c>
      <c r="S5" s="10" t="n">
        <v>0.08</v>
      </c>
      <c r="T5" s="11">
        <f>ROUND((O5*0.40)+(H5*0.30)+(S5*15)+(N5*2), 2)</f>
        <v/>
      </c>
    </row>
    <row r="6" ht="20" customHeight="1">
      <c r="A6" s="4" t="inlineStr">
        <is>
          <t>D. Kavanagh</t>
        </is>
      </c>
      <c r="B6" s="5" t="n">
        <v>24</v>
      </c>
      <c r="C6" s="5" t="n">
        <v>4600</v>
      </c>
      <c r="D6" s="6" t="n">
        <v>0.45</v>
      </c>
      <c r="E6" s="6" t="n">
        <v>87</v>
      </c>
      <c r="F6" s="6" t="n">
        <v>22</v>
      </c>
      <c r="G6" s="6" t="n">
        <v>78</v>
      </c>
      <c r="H6" s="6" t="n">
        <v>62</v>
      </c>
      <c r="I6" s="6" t="n">
        <v>4.5</v>
      </c>
      <c r="J6" s="5" t="n">
        <v>36</v>
      </c>
      <c r="K6" s="6" t="n">
        <v>0.7</v>
      </c>
      <c r="L6" s="5" t="n">
        <v>138</v>
      </c>
      <c r="M6" s="6" t="n">
        <v>2.7</v>
      </c>
      <c r="N6" s="5" t="n">
        <v>14</v>
      </c>
      <c r="O6" s="6" t="n">
        <v>74.5</v>
      </c>
      <c r="P6" s="6" t="n">
        <v>38</v>
      </c>
      <c r="Q6" s="6" t="n">
        <v>0.74</v>
      </c>
      <c r="R6" s="6" t="n">
        <v>3.5</v>
      </c>
      <c r="S6" s="6" t="n">
        <v>0.07000000000000001</v>
      </c>
      <c r="T6" s="7">
        <f>ROUND((O6*0.40)+(H6*0.30)+(S6*15)+(N6*2), 2)</f>
        <v/>
      </c>
    </row>
    <row r="7" ht="20" customHeight="1">
      <c r="A7" s="8" t="inlineStr">
        <is>
          <t>T. Martin</t>
        </is>
      </c>
      <c r="B7" s="9" t="n">
        <v>25</v>
      </c>
      <c r="C7" s="9" t="n">
        <v>6985</v>
      </c>
      <c r="D7" s="10" t="n">
        <v>0.44</v>
      </c>
      <c r="E7" s="10" t="n">
        <v>70.59</v>
      </c>
      <c r="F7" s="10" t="n">
        <v>18.23</v>
      </c>
      <c r="G7" s="10" t="n">
        <v>75</v>
      </c>
      <c r="H7" s="10" t="n">
        <v>58</v>
      </c>
      <c r="I7" s="10" t="n">
        <v>4</v>
      </c>
      <c r="J7" s="9" t="n">
        <v>48</v>
      </c>
      <c r="K7" s="10" t="n">
        <v>0.62</v>
      </c>
      <c r="L7" s="9" t="n">
        <v>180</v>
      </c>
      <c r="M7" s="10" t="n">
        <v>2.32</v>
      </c>
      <c r="N7" s="9" t="n">
        <v>15</v>
      </c>
      <c r="O7" s="10" t="n">
        <v>71</v>
      </c>
      <c r="P7" s="10" t="n">
        <v>49</v>
      </c>
      <c r="Q7" s="10" t="n">
        <v>0.63</v>
      </c>
      <c r="R7" s="10" t="n">
        <v>2.8</v>
      </c>
      <c r="S7" s="10" t="n">
        <v>0.05</v>
      </c>
      <c r="T7" s="11">
        <f>ROUND((O7*0.40)+(H7*0.30)+(S7*15)+(N7*2), 2)</f>
        <v/>
      </c>
    </row>
    <row r="8" ht="20" customHeight="1">
      <c r="A8" s="4" t="inlineStr">
        <is>
          <t>K. Moore</t>
        </is>
      </c>
      <c r="B8" s="5" t="n">
        <v>23</v>
      </c>
      <c r="C8" s="5" t="n">
        <v>4200</v>
      </c>
      <c r="D8" s="6" t="n">
        <v>0.4</v>
      </c>
      <c r="E8" s="6" t="n">
        <v>85</v>
      </c>
      <c r="F8" s="6" t="n">
        <v>20</v>
      </c>
      <c r="G8" s="6" t="n">
        <v>76</v>
      </c>
      <c r="H8" s="6" t="n">
        <v>59</v>
      </c>
      <c r="I8" s="6" t="n">
        <v>4.2</v>
      </c>
      <c r="J8" s="5" t="n">
        <v>40</v>
      </c>
      <c r="K8" s="6" t="n">
        <v>0.85</v>
      </c>
      <c r="L8" s="5" t="n">
        <v>150</v>
      </c>
      <c r="M8" s="6" t="n">
        <v>3.21</v>
      </c>
      <c r="N8" s="5" t="n">
        <v>11</v>
      </c>
      <c r="O8" s="6" t="n">
        <v>72</v>
      </c>
      <c r="P8" s="6" t="n">
        <v>42</v>
      </c>
      <c r="Q8" s="6" t="n">
        <v>0.9</v>
      </c>
      <c r="R8" s="6" t="n">
        <v>2.5</v>
      </c>
      <c r="S8" s="6" t="n">
        <v>0.05</v>
      </c>
      <c r="T8" s="7">
        <f>ROUND((O8*0.40)+(H8*0.30)+(S8*15)+(N8*2), 2)</f>
        <v/>
      </c>
    </row>
    <row r="9" ht="20" customHeight="1">
      <c r="A9" s="8" t="inlineStr">
        <is>
          <t>B. Clarke</t>
        </is>
      </c>
      <c r="B9" s="9" t="n">
        <v>26</v>
      </c>
      <c r="C9" s="9" t="n">
        <v>4100</v>
      </c>
      <c r="D9" s="10" t="n">
        <v>0.42</v>
      </c>
      <c r="E9" s="10" t="n">
        <v>84</v>
      </c>
      <c r="F9" s="10" t="n">
        <v>21</v>
      </c>
      <c r="G9" s="10" t="n">
        <v>75.5</v>
      </c>
      <c r="H9" s="10" t="n">
        <v>58.5</v>
      </c>
      <c r="I9" s="10" t="n">
        <v>4.1</v>
      </c>
      <c r="J9" s="9" t="n">
        <v>42</v>
      </c>
      <c r="K9" s="10" t="n">
        <v>0.92</v>
      </c>
      <c r="L9" s="9" t="n">
        <v>155</v>
      </c>
      <c r="M9" s="10" t="n">
        <v>3.4</v>
      </c>
      <c r="N9" s="9" t="n">
        <v>10</v>
      </c>
      <c r="O9" s="10" t="n">
        <v>71.5</v>
      </c>
      <c r="P9" s="10" t="n">
        <v>43.5</v>
      </c>
      <c r="Q9" s="10" t="n">
        <v>0.95</v>
      </c>
      <c r="R9" s="10" t="n">
        <v>2.3</v>
      </c>
      <c r="S9" s="10" t="n">
        <v>0.04</v>
      </c>
      <c r="T9" s="11">
        <f>ROUND((O9*0.40)+(H9*0.30)+(S9*15)+(N9*2), 2)</f>
        <v/>
      </c>
    </row>
    <row r="10" ht="20" customHeight="1">
      <c r="A10" s="4" t="inlineStr">
        <is>
          <t>M. Connor</t>
        </is>
      </c>
      <c r="B10" s="5" t="n">
        <v>28</v>
      </c>
      <c r="C10" s="5" t="n">
        <v>3800</v>
      </c>
      <c r="D10" s="6" t="n">
        <v>0.38</v>
      </c>
      <c r="E10" s="6" t="n">
        <v>82</v>
      </c>
      <c r="F10" s="6" t="n">
        <v>19.5</v>
      </c>
      <c r="G10" s="6" t="n">
        <v>74</v>
      </c>
      <c r="H10" s="6" t="n">
        <v>56</v>
      </c>
      <c r="I10" s="6" t="n">
        <v>3.8</v>
      </c>
      <c r="J10" s="5" t="n">
        <v>44</v>
      </c>
      <c r="K10" s="6" t="n">
        <v>1.04</v>
      </c>
      <c r="L10" s="5" t="n">
        <v>148</v>
      </c>
      <c r="M10" s="6" t="n">
        <v>3.5</v>
      </c>
      <c r="N10" s="5" t="n">
        <v>9</v>
      </c>
      <c r="O10" s="6" t="n">
        <v>69.5</v>
      </c>
      <c r="P10" s="6" t="n">
        <v>45</v>
      </c>
      <c r="Q10" s="6" t="n">
        <v>1.06</v>
      </c>
      <c r="R10" s="6" t="n">
        <v>1.8</v>
      </c>
      <c r="S10" s="6" t="n">
        <v>0.03</v>
      </c>
      <c r="T10" s="7">
        <f>ROUND((O10*0.40)+(H10*0.30)+(S10*15)+(N10*2), 2)</f>
        <v/>
      </c>
    </row>
    <row r="11" ht="20" customHeight="1">
      <c r="A11" s="8" t="inlineStr">
        <is>
          <t>J. Brady</t>
        </is>
      </c>
      <c r="B11" s="9" t="n">
        <v>22</v>
      </c>
      <c r="C11" s="9" t="n">
        <v>3500</v>
      </c>
      <c r="D11" s="10" t="n">
        <v>0.35</v>
      </c>
      <c r="E11" s="10" t="n">
        <v>80</v>
      </c>
      <c r="F11" s="10" t="n">
        <v>18</v>
      </c>
      <c r="G11" s="10" t="n">
        <v>72</v>
      </c>
      <c r="H11" s="10" t="n">
        <v>54</v>
      </c>
      <c r="I11" s="10" t="n">
        <v>3.5</v>
      </c>
      <c r="J11" s="9" t="n">
        <v>45</v>
      </c>
      <c r="K11" s="10" t="n">
        <v>1.15</v>
      </c>
      <c r="L11" s="9" t="n">
        <v>142</v>
      </c>
      <c r="M11" s="10" t="n">
        <v>3.65</v>
      </c>
      <c r="N11" s="9" t="n">
        <v>8</v>
      </c>
      <c r="O11" s="10" t="n">
        <v>68</v>
      </c>
      <c r="P11" s="10" t="n">
        <v>46</v>
      </c>
      <c r="Q11" s="10" t="n">
        <v>1.18</v>
      </c>
      <c r="R11" s="10" t="n">
        <v>1.5</v>
      </c>
      <c r="S11" s="10" t="n">
        <v>0.02</v>
      </c>
      <c r="T11" s="11">
        <f>ROUND((O11*0.40)+(H11*0.30)+(S11*15)+(N11*2), 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2026-11-01T09:13:52Z</dcterms:created>
  <dcterms:modified xmlns:dcterms="http://purl.org/dc/terms/" xmlns:xsi="http://www.w3.org/2001/XMLSchema-instance" xsi:type="dcterms:W3CDTF">2026-11-01T09:13:53Z</dcterms:modified>
</cp:coreProperties>
</file>