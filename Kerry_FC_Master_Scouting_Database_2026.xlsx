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chriscollopy/Downloads/"/>
    </mc:Choice>
  </mc:AlternateContent>
  <xr:revisionPtr revIDLastSave="0" documentId="13_ncr:1_{933A12A5-D7AB-8C46-AFE3-7A83E7AFCCBF}" xr6:coauthVersionLast="47" xr6:coauthVersionMax="47" xr10:uidLastSave="{00000000-0000-0000-0000-000000000000}"/>
  <bookViews>
    <workbookView xWindow="0" yWindow="500" windowWidth="28800" windowHeight="16020" activeTab="3" xr2:uid="{00000000-000D-0000-FFFF-FFFF00000000}"/>
  </bookViews>
  <sheets>
    <sheet name="Center Backs" sheetId="1" r:id="rId1"/>
    <sheet name="Left Backs" sheetId="2" r:id="rId2"/>
    <sheet name="Right Backs" sheetId="3" r:id="rId3"/>
    <sheet name="Central Midfielders" sheetId="4" r:id="rId4"/>
    <sheet name="Wingers" sheetId="5" r:id="rId5"/>
    <sheet name="Center Forwards" sheetId="6" r:id="rId6"/>
    <sheet name="Goalkeeper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24" i="4" l="1"/>
  <c r="AF23" i="4"/>
  <c r="T15" i="7"/>
  <c r="T14" i="7"/>
  <c r="T13" i="7"/>
  <c r="T12" i="7"/>
  <c r="T11" i="7"/>
  <c r="T10" i="7"/>
  <c r="T9" i="7"/>
  <c r="T8" i="7"/>
  <c r="T7" i="7"/>
  <c r="T6" i="7"/>
  <c r="T5" i="7"/>
  <c r="T4" i="7"/>
  <c r="X16" i="6"/>
  <c r="X15" i="6"/>
  <c r="X14" i="6"/>
  <c r="X13" i="6"/>
  <c r="X12" i="6"/>
  <c r="X11" i="6"/>
  <c r="X10" i="6"/>
  <c r="X9" i="6"/>
  <c r="X8" i="6"/>
  <c r="X7" i="6"/>
  <c r="X6" i="6"/>
  <c r="X5" i="6"/>
  <c r="X4" i="6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F22" i="4"/>
  <c r="AF21" i="4"/>
  <c r="AF20" i="4"/>
  <c r="AF19" i="4"/>
  <c r="AF18" i="4"/>
  <c r="AF17" i="4"/>
  <c r="AF16" i="4"/>
  <c r="AF15" i="4"/>
  <c r="AF14" i="4"/>
  <c r="AF13" i="4"/>
  <c r="AF12" i="4"/>
  <c r="AF11" i="4"/>
  <c r="AF10" i="4"/>
  <c r="AF9" i="4"/>
  <c r="AF8" i="4"/>
  <c r="AF7" i="4"/>
  <c r="AF6" i="4"/>
  <c r="AF5" i="4"/>
  <c r="AF4" i="4"/>
  <c r="Z16" i="3"/>
  <c r="Z15" i="3"/>
  <c r="Z14" i="3"/>
  <c r="Z13" i="3"/>
  <c r="Z12" i="3"/>
  <c r="Z11" i="3"/>
  <c r="Z10" i="3"/>
  <c r="Z9" i="3"/>
  <c r="Z8" i="3"/>
  <c r="Z7" i="3"/>
  <c r="Z6" i="3"/>
  <c r="Z5" i="3"/>
  <c r="Z4" i="3"/>
  <c r="Z15" i="2"/>
  <c r="Z14" i="2"/>
  <c r="Z13" i="2"/>
  <c r="Z12" i="2"/>
  <c r="Z11" i="2"/>
  <c r="Z10" i="2"/>
  <c r="Z9" i="2"/>
  <c r="Z8" i="2"/>
  <c r="Z7" i="2"/>
  <c r="Z6" i="2"/>
  <c r="Z5" i="2"/>
  <c r="Z4" i="2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</calcChain>
</file>

<file path=xl/sharedStrings.xml><?xml version="1.0" encoding="utf-8"?>
<sst xmlns="http://schemas.openxmlformats.org/spreadsheetml/2006/main" count="475" uniqueCount="253">
  <si>
    <t>Kerry FC Scouting Database - Center Backs</t>
  </si>
  <si>
    <t>Note: Composite Score is calculated automatically via Excel formula referencing underlying performance metrics.</t>
  </si>
  <si>
    <t>Player</t>
  </si>
  <si>
    <t>Team</t>
  </si>
  <si>
    <t>Position</t>
  </si>
  <si>
    <t>Age</t>
  </si>
  <si>
    <t>Contract expires</t>
  </si>
  <si>
    <t>Minutes played</t>
  </si>
  <si>
    <t>Height</t>
  </si>
  <si>
    <t>Successful defensive actions per 90</t>
  </si>
  <si>
    <t>Defensive duels per 90</t>
  </si>
  <si>
    <t>Defensive duels won, %</t>
  </si>
  <si>
    <t>Aerial duels per 90</t>
  </si>
  <si>
    <t>Aerial duels won, %</t>
  </si>
  <si>
    <t>Shots blocked per 90</t>
  </si>
  <si>
    <t>Interceptions per 90</t>
  </si>
  <si>
    <t>PAdj Interceptions</t>
  </si>
  <si>
    <t>Fouls per 90</t>
  </si>
  <si>
    <t>Head goals</t>
  </si>
  <si>
    <t>Accurate passes, %</t>
  </si>
  <si>
    <t>Forward passes per 90</t>
  </si>
  <si>
    <t>Accurate forward passes, %</t>
  </si>
  <si>
    <t>Accurate long passes, %</t>
  </si>
  <si>
    <t>Progressive passes per 90</t>
  </si>
  <si>
    <t>Accurate progressive passes, %</t>
  </si>
  <si>
    <t>Composite Score</t>
  </si>
  <si>
    <t>N. Brookwell</t>
  </si>
  <si>
    <t xml:space="preserve">Kerry </t>
  </si>
  <si>
    <t>RCB, CB, LCB</t>
  </si>
  <si>
    <t>2027-11-30</t>
  </si>
  <si>
    <t>E. O’Connor</t>
  </si>
  <si>
    <t>Athlone Town</t>
  </si>
  <si>
    <t>RB, LCB, RCB</t>
  </si>
  <si>
    <t>J. Hakkinen</t>
  </si>
  <si>
    <t>LCB, RB, LCB3</t>
  </si>
  <si>
    <t>2026-11-30</t>
  </si>
  <si>
    <t>R. Lynch</t>
  </si>
  <si>
    <t>Treaty United</t>
  </si>
  <si>
    <t>RCB, RB, CB</t>
  </si>
  <si>
    <t>D. Hand</t>
  </si>
  <si>
    <t>Lucan United</t>
  </si>
  <si>
    <t>LCB, RCB</t>
  </si>
  <si>
    <t>J. Crawford</t>
  </si>
  <si>
    <t>LB, LCB</t>
  </si>
  <si>
    <t>J. Duggan</t>
  </si>
  <si>
    <t>Bray Wanderers</t>
  </si>
  <si>
    <t>RB, LCB</t>
  </si>
  <si>
    <t>J. Bradley-Walsh</t>
  </si>
  <si>
    <t>Finn Harps</t>
  </si>
  <si>
    <t>LCB, LCB3</t>
  </si>
  <si>
    <t>É. Clancy</t>
  </si>
  <si>
    <t>VVV Venlo</t>
  </si>
  <si>
    <t>RCB, LCB</t>
  </si>
  <si>
    <t>2028-06-30</t>
  </si>
  <si>
    <t>C. Lyons</t>
  </si>
  <si>
    <t>Cork City</t>
  </si>
  <si>
    <t>C. Coleman</t>
  </si>
  <si>
    <t>Cobh Ramblers</t>
  </si>
  <si>
    <t>RCB, CB</t>
  </si>
  <si>
    <t>D. Osagie</t>
  </si>
  <si>
    <t>RCB</t>
  </si>
  <si>
    <t>T. McCarthy</t>
  </si>
  <si>
    <t>Longford Town</t>
  </si>
  <si>
    <t>LCB, CB</t>
  </si>
  <si>
    <t>H. Warren</t>
  </si>
  <si>
    <t>Dundalk</t>
  </si>
  <si>
    <t>LCB, RCB, RB</t>
  </si>
  <si>
    <t>J. Kehir</t>
  </si>
  <si>
    <t>RCB, RB</t>
  </si>
  <si>
    <t>D. Nwankwo</t>
  </si>
  <si>
    <t>LCB, RCB3, RCB</t>
  </si>
  <si>
    <t>R. Mansfield</t>
  </si>
  <si>
    <t>LCB, LCB3, CB</t>
  </si>
  <si>
    <t>C.  Errity</t>
  </si>
  <si>
    <t>LCB3, LCB, LB</t>
  </si>
  <si>
    <t>Kerry FC Scouting Database - Left Backs</t>
  </si>
  <si>
    <t>Assists</t>
  </si>
  <si>
    <t>xA</t>
  </si>
  <si>
    <t>xA per 90</t>
  </si>
  <si>
    <t>Crosses per 90</t>
  </si>
  <si>
    <t>Accurate crosses, %</t>
  </si>
  <si>
    <t>Dribbles per 90</t>
  </si>
  <si>
    <t>Successful dribbles, %</t>
  </si>
  <si>
    <t>Progressive runs per 90</t>
  </si>
  <si>
    <t>Passes to final third per 90</t>
  </si>
  <si>
    <t>Accurate passes to final third, %</t>
  </si>
  <si>
    <t>S. O'Connell</t>
  </si>
  <si>
    <t>D. O'Shea</t>
  </si>
  <si>
    <t>B. Lynch</t>
  </si>
  <si>
    <t>K. O'Connor</t>
  </si>
  <si>
    <t>L. Le Bervet</t>
  </si>
  <si>
    <t>C. Drinan</t>
  </si>
  <si>
    <t>B. Richkov</t>
  </si>
  <si>
    <t>J. Hough</t>
  </si>
  <si>
    <t>A. Fanle</t>
  </si>
  <si>
    <t>S. Murphy</t>
  </si>
  <si>
    <t>Derinsola Adewale</t>
  </si>
  <si>
    <t>Kerry FC Scouting Database - Right Backs</t>
  </si>
  <si>
    <t>M. Murphy</t>
  </si>
  <si>
    <t>J. Cullen</t>
  </si>
  <si>
    <t>S. Aladesanusi</t>
  </si>
  <si>
    <t>R. Feely</t>
  </si>
  <si>
    <t>A. Kizenga</t>
  </si>
  <si>
    <t>A. O'Brien</t>
  </si>
  <si>
    <t>R. Webb</t>
  </si>
  <si>
    <t>L. Cailloce</t>
  </si>
  <si>
    <t>H. Nevin</t>
  </si>
  <si>
    <t>C. Honohan</t>
  </si>
  <si>
    <t>F. Barrett</t>
  </si>
  <si>
    <t>D. Connolly</t>
  </si>
  <si>
    <t>Kerry FC Scouting Database - Central Midfielders</t>
  </si>
  <si>
    <t>Goals</t>
  </si>
  <si>
    <t>Non-penalty goals per 90</t>
  </si>
  <si>
    <t>Assists per 90</t>
  </si>
  <si>
    <t>Offensive duels won, %</t>
  </si>
  <si>
    <t>Received passes per 90</t>
  </si>
  <si>
    <t>Fouls suffered per 90</t>
  </si>
  <si>
    <t>Passes per 90</t>
  </si>
  <si>
    <t>A. Wells</t>
  </si>
  <si>
    <t>UCD</t>
  </si>
  <si>
    <t>LB, LDMF, RB</t>
  </si>
  <si>
    <t>B. McManus</t>
  </si>
  <si>
    <t>LB, LDMF, LCMF</t>
  </si>
  <si>
    <t>K. Harnett</t>
  </si>
  <si>
    <t>Wexford</t>
  </si>
  <si>
    <t>RDMF, LDMF, LCMF</t>
  </si>
  <si>
    <t>E. Lee</t>
  </si>
  <si>
    <t>RDMF, DMF, RB</t>
  </si>
  <si>
    <t>V. Borden</t>
  </si>
  <si>
    <t>LDMF, RCMF, RCMF3</t>
  </si>
  <si>
    <t>R. Gourdie</t>
  </si>
  <si>
    <t>AMF, RDMF</t>
  </si>
  <si>
    <t>A. Paraschiv</t>
  </si>
  <si>
    <t>LAMF, LDMF, LW</t>
  </si>
  <si>
    <t>S. Griffin</t>
  </si>
  <si>
    <t>RCMF, LCMF</t>
  </si>
  <si>
    <t>S. Healy</t>
  </si>
  <si>
    <t>LCMF, LDMF, RDMF</t>
  </si>
  <si>
    <t>A. Verdon</t>
  </si>
  <si>
    <t>LDMF, LCMF, DMF</t>
  </si>
  <si>
    <t>S. Brennan</t>
  </si>
  <si>
    <t>RDMF, LDMF, DMF</t>
  </si>
  <si>
    <t>H. Groome</t>
  </si>
  <si>
    <t>LDMF, AMF, RDMF</t>
  </si>
  <si>
    <t>L. Dignam</t>
  </si>
  <si>
    <t>RDMF, AMF, RCMF</t>
  </si>
  <si>
    <t>R. Bartley</t>
  </si>
  <si>
    <t>C. Conroy</t>
  </si>
  <si>
    <t>RDMF, RCMF, DMF</t>
  </si>
  <si>
    <t>A. Connolly</t>
  </si>
  <si>
    <t>AMF, RDMF, RCMF</t>
  </si>
  <si>
    <t>S. Moore</t>
  </si>
  <si>
    <t>DMF, LDMF, RCMF</t>
  </si>
  <si>
    <t>D. McKenna</t>
  </si>
  <si>
    <t>RCMF, RDMF, AMF</t>
  </si>
  <si>
    <t>J. Bilili Sesay</t>
  </si>
  <si>
    <t>DMF, RDMF, LDMF</t>
  </si>
  <si>
    <t>Kerry FC Scouting Database - Wingers</t>
  </si>
  <si>
    <t>xG</t>
  </si>
  <si>
    <t>xG per 90</t>
  </si>
  <si>
    <t>Shots per 90</t>
  </si>
  <si>
    <t>Shots on target, %</t>
  </si>
  <si>
    <t>Touches in box per 90</t>
  </si>
  <si>
    <t>Deep completions per 90</t>
  </si>
  <si>
    <t>M. Rowe</t>
  </si>
  <si>
    <t>RAMF, RW, LAMF</t>
  </si>
  <si>
    <t>P. Manuel</t>
  </si>
  <si>
    <t>RAMF, RW, DMF</t>
  </si>
  <si>
    <t>M. McCullagh</t>
  </si>
  <si>
    <t>G. Lomboto</t>
  </si>
  <si>
    <t>LAMF, LW, RAMF</t>
  </si>
  <si>
    <t>C. Bargary</t>
  </si>
  <si>
    <t>RAMF, RW</t>
  </si>
  <si>
    <t>H. Mpongo</t>
  </si>
  <si>
    <t>CF, LAMF, LW</t>
  </si>
  <si>
    <t>J. Wynne</t>
  </si>
  <si>
    <t>RAMF, LAMF, RW</t>
  </si>
  <si>
    <t>M. Byrne</t>
  </si>
  <si>
    <t>LAMF, CF, LW</t>
  </si>
  <si>
    <t>J. Oyenuga</t>
  </si>
  <si>
    <t>T. Sammy</t>
  </si>
  <si>
    <t>LAMF, LW, CF</t>
  </si>
  <si>
    <t>D. McGlade</t>
  </si>
  <si>
    <t>LAMF, AMF, CF</t>
  </si>
  <si>
    <t>S. Ugbesia</t>
  </si>
  <si>
    <t>CF, RW, RAMF</t>
  </si>
  <si>
    <t>A. McLaughlin</t>
  </si>
  <si>
    <t>RAMF, CF, AMF</t>
  </si>
  <si>
    <t>L. Gaxha</t>
  </si>
  <si>
    <t>RAMF, CF, LAMF</t>
  </si>
  <si>
    <t>I. Achara</t>
  </si>
  <si>
    <t>RW, CF, RAMF</t>
  </si>
  <si>
    <t>A. Oluwabiyi</t>
  </si>
  <si>
    <t>LW, LAMF, RW</t>
  </si>
  <si>
    <t>LB, LW, LB5</t>
  </si>
  <si>
    <t>S. Mohan</t>
  </si>
  <si>
    <t>LAMF, LW</t>
  </si>
  <si>
    <t>C. Akinrintayo</t>
  </si>
  <si>
    <t>LAMF, CF</t>
  </si>
  <si>
    <t>A. Adenopo</t>
  </si>
  <si>
    <t>LAMF, RAMF, CF</t>
  </si>
  <si>
    <t>J. Adeyemi</t>
  </si>
  <si>
    <t>CF, RAMF, LAMF</t>
  </si>
  <si>
    <t>R. Lawlor</t>
  </si>
  <si>
    <t>LW, LAMF, AMF</t>
  </si>
  <si>
    <t>J. Bailey</t>
  </si>
  <si>
    <t>LAMF, LW, LCMF3</t>
  </si>
  <si>
    <t>Kerry FC Scouting Database - Center Forwards</t>
  </si>
  <si>
    <t>Goals per 90</t>
  </si>
  <si>
    <t>Goal conversion, %</t>
  </si>
  <si>
    <t>Received long passes per 90</t>
  </si>
  <si>
    <t>C. Murphy</t>
  </si>
  <si>
    <t>CF</t>
  </si>
  <si>
    <t>J. Doyle</t>
  </si>
  <si>
    <t>CF, AMF</t>
  </si>
  <si>
    <t>2028-11-30</t>
  </si>
  <si>
    <t>C. Curtis</t>
  </si>
  <si>
    <t>D. Murtagh</t>
  </si>
  <si>
    <t>H. Smith</t>
  </si>
  <si>
    <t>R. Keating</t>
  </si>
  <si>
    <t>P. Grogan</t>
  </si>
  <si>
    <t>N. Lumingo</t>
  </si>
  <si>
    <t>LW, LAMF, CF</t>
  </si>
  <si>
    <t>C. Tollett</t>
  </si>
  <si>
    <t>Bologna U20</t>
  </si>
  <si>
    <t>F. Kareem</t>
  </si>
  <si>
    <t>E. Mustali</t>
  </si>
  <si>
    <t>R. Kelliher</t>
  </si>
  <si>
    <t>Kerry FC Scouting Database - Goalkeepers</t>
  </si>
  <si>
    <t>Conceded goals</t>
  </si>
  <si>
    <t>Conceded goals per 90</t>
  </si>
  <si>
    <t>Shots against</t>
  </si>
  <si>
    <t>Shots against per 90</t>
  </si>
  <si>
    <t>Clean sheets</t>
  </si>
  <si>
    <t>Save rate, %</t>
  </si>
  <si>
    <t>xG against</t>
  </si>
  <si>
    <t>xG against per 90</t>
  </si>
  <si>
    <t>Prevented goals</t>
  </si>
  <si>
    <t>Prevented goals per 90</t>
  </si>
  <si>
    <t>T. Martin</t>
  </si>
  <si>
    <t>J. Corcoran</t>
  </si>
  <si>
    <t>D. Kavanagh</t>
  </si>
  <si>
    <t>P. Martin</t>
  </si>
  <si>
    <t>K. Moore</t>
  </si>
  <si>
    <t>M. Connor</t>
  </si>
  <si>
    <t>C. Brann</t>
  </si>
  <si>
    <t>B. Clarke</t>
  </si>
  <si>
    <t>H. Halwax</t>
  </si>
  <si>
    <t>J. Brady</t>
  </si>
  <si>
    <t>C. Sheridan</t>
  </si>
  <si>
    <t>R. Hogan</t>
  </si>
  <si>
    <t>N. O'Keeffe</t>
  </si>
  <si>
    <t>LCMF, DMF, RCMF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</si>
</sst>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rgb="FF1F4E78"/>
      <name val="Calibri"/>
      <family val="2"/>
    </font>
    <font>
      <i/>
      <sz val="10"/>
      <color rgb="FF595959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color rgb="FF1F4E78"/>
      <name val="Calibri"/>
      <family val="2"/>
    </font>
    <font>
      <sz val="11"/>
      <name val="Arial"/>
      <family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4" fontId="4" fillId="0" borderId="1" xfId="0" applyNumberFormat="1" applyFont="1" applyBorder="1" applyAlignment="1">
      <alignment horizontal="right"/>
    </xf>
    <xf numFmtId="4" fontId="5" fillId="0" borderId="1" xfId="0" applyNumberFormat="1" applyFont="1" applyBorder="1" applyAlignment="1">
      <alignment horizontal="right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right"/>
    </xf>
    <xf numFmtId="4" fontId="4" fillId="3" borderId="1" xfId="0" applyNumberFormat="1" applyFont="1" applyFill="1" applyBorder="1" applyAlignment="1">
      <alignment horizontal="right"/>
    </xf>
    <xf numFmtId="4" fontId="5" fillId="3" borderId="1" xfId="0" applyNumberFormat="1" applyFont="1" applyFill="1" applyBorder="1" applyAlignment="1">
      <alignment horizontal="right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1"/>
  <sheetViews>
    <sheetView workbookViewId="0"/>
  </sheetViews>
  <sheetFormatPr baseColWidth="10" defaultColWidth="8.83203125" defaultRowHeight="15" x14ac:dyDescent="0.2"/>
  <cols>
    <col min="1" max="1" width="115" customWidth="1"/>
    <col min="2" max="3" width="18" customWidth="1"/>
    <col min="4" max="4" width="12" customWidth="1"/>
    <col min="5" max="5" width="20" customWidth="1"/>
    <col min="6" max="6" width="18" customWidth="1"/>
    <col min="7" max="7" width="12" customWidth="1"/>
    <col min="8" max="8" width="39" customWidth="1"/>
    <col min="9" max="10" width="26" customWidth="1"/>
    <col min="11" max="12" width="23" customWidth="1"/>
    <col min="13" max="14" width="24" customWidth="1"/>
    <col min="15" max="15" width="22" customWidth="1"/>
    <col min="16" max="16" width="16" customWidth="1"/>
    <col min="17" max="17" width="14" customWidth="1"/>
    <col min="18" max="18" width="22" customWidth="1"/>
    <col min="19" max="19" width="25" customWidth="1"/>
    <col min="20" max="20" width="30" customWidth="1"/>
    <col min="21" max="21" width="27" customWidth="1"/>
    <col min="22" max="22" width="29" customWidth="1"/>
    <col min="23" max="23" width="34" customWidth="1"/>
    <col min="24" max="24" width="67" customWidth="1"/>
  </cols>
  <sheetData>
    <row r="1" spans="1:24" ht="19" x14ac:dyDescent="0.25">
      <c r="A1" s="1" t="s">
        <v>0</v>
      </c>
    </row>
    <row r="2" spans="1:24" x14ac:dyDescent="0.2">
      <c r="A2" s="2" t="s">
        <v>1</v>
      </c>
    </row>
    <row r="3" spans="1:24" ht="24" customHeight="1" x14ac:dyDescent="0.2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3" t="s">
        <v>19</v>
      </c>
      <c r="S3" s="3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25</v>
      </c>
    </row>
    <row r="4" spans="1:24" ht="20" customHeight="1" x14ac:dyDescent="0.2">
      <c r="A4" s="4" t="s">
        <v>26</v>
      </c>
      <c r="B4" s="4" t="s">
        <v>27</v>
      </c>
      <c r="C4" s="4" t="s">
        <v>28</v>
      </c>
      <c r="D4" s="5">
        <v>24</v>
      </c>
      <c r="E4" s="4" t="s">
        <v>29</v>
      </c>
      <c r="F4" s="5">
        <v>6862</v>
      </c>
      <c r="G4" s="5">
        <v>187</v>
      </c>
      <c r="H4" s="6">
        <v>9.5500000000000007</v>
      </c>
      <c r="I4" s="6">
        <v>5.94</v>
      </c>
      <c r="J4" s="6">
        <v>65.78</v>
      </c>
      <c r="K4" s="6">
        <v>4.62</v>
      </c>
      <c r="L4" s="6">
        <v>62.5</v>
      </c>
      <c r="M4" s="6">
        <v>0.83</v>
      </c>
      <c r="N4" s="6">
        <v>5.27</v>
      </c>
      <c r="O4" s="6">
        <v>6.6</v>
      </c>
      <c r="P4" s="6">
        <v>1.04</v>
      </c>
      <c r="Q4" s="5">
        <v>0</v>
      </c>
      <c r="R4" s="6">
        <v>78.72</v>
      </c>
      <c r="S4" s="6">
        <v>12.59</v>
      </c>
      <c r="T4" s="6">
        <v>63.33</v>
      </c>
      <c r="U4" s="6">
        <v>42.78</v>
      </c>
      <c r="V4" s="6">
        <v>5.82</v>
      </c>
      <c r="W4" s="6">
        <v>59.68</v>
      </c>
      <c r="X4" s="7">
        <f t="shared" ref="X4:X21" si="0">ROUND((J4*0.25)+(L4*0.25)+(R4*0.2)+(H4*1.5)+(V4*1.5), 2)</f>
        <v>70.87</v>
      </c>
    </row>
    <row r="5" spans="1:24" ht="20" customHeight="1" x14ac:dyDescent="0.2">
      <c r="A5" s="8" t="s">
        <v>30</v>
      </c>
      <c r="B5" s="8" t="s">
        <v>31</v>
      </c>
      <c r="C5" s="8" t="s">
        <v>32</v>
      </c>
      <c r="D5" s="9">
        <v>26</v>
      </c>
      <c r="E5" s="10"/>
      <c r="F5" s="9">
        <v>6547</v>
      </c>
      <c r="G5" s="9">
        <v>0</v>
      </c>
      <c r="H5" s="10">
        <v>9.33</v>
      </c>
      <c r="I5" s="10">
        <v>7</v>
      </c>
      <c r="J5" s="10">
        <v>63.26</v>
      </c>
      <c r="K5" s="10">
        <v>6.43</v>
      </c>
      <c r="L5" s="10">
        <v>62.61</v>
      </c>
      <c r="M5" s="10">
        <v>0.4</v>
      </c>
      <c r="N5" s="10">
        <v>4.6900000000000004</v>
      </c>
      <c r="O5" s="10">
        <v>6.18</v>
      </c>
      <c r="P5" s="10">
        <v>0.7</v>
      </c>
      <c r="Q5" s="9">
        <v>0</v>
      </c>
      <c r="R5" s="10">
        <v>77.430000000000007</v>
      </c>
      <c r="S5" s="10">
        <v>16.8</v>
      </c>
      <c r="T5" s="10">
        <v>63.58</v>
      </c>
      <c r="U5" s="10">
        <v>43.73</v>
      </c>
      <c r="V5" s="10">
        <v>7.88</v>
      </c>
      <c r="W5" s="10">
        <v>59.51</v>
      </c>
      <c r="X5" s="11">
        <f t="shared" si="0"/>
        <v>72.77</v>
      </c>
    </row>
    <row r="6" spans="1:24" ht="20" customHeight="1" x14ac:dyDescent="0.2">
      <c r="A6" s="4" t="s">
        <v>33</v>
      </c>
      <c r="B6" s="4" t="s">
        <v>27</v>
      </c>
      <c r="C6" s="4" t="s">
        <v>34</v>
      </c>
      <c r="D6" s="5">
        <v>27</v>
      </c>
      <c r="E6" s="4" t="s">
        <v>35</v>
      </c>
      <c r="F6" s="5">
        <v>6374</v>
      </c>
      <c r="G6" s="5">
        <v>186</v>
      </c>
      <c r="H6" s="6">
        <v>8.8800000000000008</v>
      </c>
      <c r="I6" s="6">
        <v>4.57</v>
      </c>
      <c r="J6" s="6">
        <v>62.04</v>
      </c>
      <c r="K6" s="6">
        <v>5.72</v>
      </c>
      <c r="L6" s="6">
        <v>56.05</v>
      </c>
      <c r="M6" s="6">
        <v>0.68</v>
      </c>
      <c r="N6" s="6">
        <v>5.94</v>
      </c>
      <c r="O6" s="6">
        <v>7.76</v>
      </c>
      <c r="P6" s="6">
        <v>0.86</v>
      </c>
      <c r="Q6" s="5">
        <v>1</v>
      </c>
      <c r="R6" s="6">
        <v>82.52</v>
      </c>
      <c r="S6" s="6">
        <v>21.59</v>
      </c>
      <c r="T6" s="6">
        <v>71.16</v>
      </c>
      <c r="U6" s="6">
        <v>53.93</v>
      </c>
      <c r="V6" s="6">
        <v>10.87</v>
      </c>
      <c r="W6" s="6">
        <v>72.73</v>
      </c>
      <c r="X6" s="7">
        <f t="shared" si="0"/>
        <v>75.650000000000006</v>
      </c>
    </row>
    <row r="7" spans="1:24" ht="20" customHeight="1" x14ac:dyDescent="0.2">
      <c r="A7" s="8" t="s">
        <v>36</v>
      </c>
      <c r="B7" s="8" t="s">
        <v>37</v>
      </c>
      <c r="C7" s="8" t="s">
        <v>38</v>
      </c>
      <c r="D7" s="9">
        <v>20</v>
      </c>
      <c r="E7" s="10"/>
      <c r="F7" s="9">
        <v>5929</v>
      </c>
      <c r="G7" s="9">
        <v>0</v>
      </c>
      <c r="H7" s="10">
        <v>9.4600000000000009</v>
      </c>
      <c r="I7" s="10">
        <v>5.0199999999999996</v>
      </c>
      <c r="J7" s="10">
        <v>76.739999999999995</v>
      </c>
      <c r="K7" s="10">
        <v>4.6900000000000004</v>
      </c>
      <c r="L7" s="10">
        <v>67.64</v>
      </c>
      <c r="M7" s="10">
        <v>0.56000000000000005</v>
      </c>
      <c r="N7" s="10">
        <v>5.5</v>
      </c>
      <c r="O7" s="10">
        <v>6.69</v>
      </c>
      <c r="P7" s="10">
        <v>0.49</v>
      </c>
      <c r="Q7" s="9">
        <v>1</v>
      </c>
      <c r="R7" s="10">
        <v>71.8</v>
      </c>
      <c r="S7" s="10">
        <v>18.97</v>
      </c>
      <c r="T7" s="10">
        <v>59.12</v>
      </c>
      <c r="U7" s="10">
        <v>43.28</v>
      </c>
      <c r="V7" s="10">
        <v>9.49</v>
      </c>
      <c r="W7" s="10">
        <v>66.08</v>
      </c>
      <c r="X7" s="11">
        <f t="shared" si="0"/>
        <v>78.88</v>
      </c>
    </row>
    <row r="8" spans="1:24" ht="20" customHeight="1" x14ac:dyDescent="0.2">
      <c r="A8" s="4" t="s">
        <v>39</v>
      </c>
      <c r="B8" s="4" t="s">
        <v>40</v>
      </c>
      <c r="C8" s="4" t="s">
        <v>41</v>
      </c>
      <c r="D8" s="5">
        <v>27</v>
      </c>
      <c r="E8" s="4" t="s">
        <v>35</v>
      </c>
      <c r="F8" s="5">
        <v>5911</v>
      </c>
      <c r="G8" s="5">
        <v>0</v>
      </c>
      <c r="H8" s="6">
        <v>11.3</v>
      </c>
      <c r="I8" s="6">
        <v>6.91</v>
      </c>
      <c r="J8" s="6">
        <v>74.89</v>
      </c>
      <c r="K8" s="6">
        <v>6.52</v>
      </c>
      <c r="L8" s="6">
        <v>62.15</v>
      </c>
      <c r="M8" s="6">
        <v>0.65</v>
      </c>
      <c r="N8" s="6">
        <v>5.94</v>
      </c>
      <c r="O8" s="6">
        <v>7.92</v>
      </c>
      <c r="P8" s="6">
        <v>0.87</v>
      </c>
      <c r="Q8" s="5">
        <v>0</v>
      </c>
      <c r="R8" s="6">
        <v>77.37</v>
      </c>
      <c r="S8" s="6">
        <v>21.67</v>
      </c>
      <c r="T8" s="6">
        <v>63.88</v>
      </c>
      <c r="U8" s="6">
        <v>49.55</v>
      </c>
      <c r="V8" s="6">
        <v>10.63</v>
      </c>
      <c r="W8" s="6">
        <v>61.03</v>
      </c>
      <c r="X8" s="7">
        <f t="shared" si="0"/>
        <v>82.63</v>
      </c>
    </row>
    <row r="9" spans="1:24" ht="20" customHeight="1" x14ac:dyDescent="0.2">
      <c r="A9" s="8" t="s">
        <v>42</v>
      </c>
      <c r="B9" s="8" t="s">
        <v>31</v>
      </c>
      <c r="C9" s="8" t="s">
        <v>43</v>
      </c>
      <c r="D9" s="9">
        <v>21</v>
      </c>
      <c r="E9" s="8" t="s">
        <v>35</v>
      </c>
      <c r="F9" s="9">
        <v>5645</v>
      </c>
      <c r="G9" s="9">
        <v>183</v>
      </c>
      <c r="H9" s="10">
        <v>8.9</v>
      </c>
      <c r="I9" s="10">
        <v>6.38</v>
      </c>
      <c r="J9" s="10">
        <v>62.5</v>
      </c>
      <c r="K9" s="10">
        <v>4.07</v>
      </c>
      <c r="L9" s="10">
        <v>58.04</v>
      </c>
      <c r="M9" s="10">
        <v>0.41</v>
      </c>
      <c r="N9" s="10">
        <v>4.72</v>
      </c>
      <c r="O9" s="10">
        <v>6.29</v>
      </c>
      <c r="P9" s="10">
        <v>0.56000000000000005</v>
      </c>
      <c r="Q9" s="9">
        <v>1</v>
      </c>
      <c r="R9" s="10">
        <v>78.239999999999995</v>
      </c>
      <c r="S9" s="10">
        <v>22.24</v>
      </c>
      <c r="T9" s="10">
        <v>67.239999999999995</v>
      </c>
      <c r="U9" s="10">
        <v>49.82</v>
      </c>
      <c r="V9" s="10">
        <v>12.28</v>
      </c>
      <c r="W9" s="10">
        <v>71.3</v>
      </c>
      <c r="X9" s="11">
        <f t="shared" si="0"/>
        <v>77.55</v>
      </c>
    </row>
    <row r="10" spans="1:24" ht="20" customHeight="1" x14ac:dyDescent="0.2">
      <c r="A10" s="4" t="s">
        <v>44</v>
      </c>
      <c r="B10" s="4" t="s">
        <v>45</v>
      </c>
      <c r="C10" s="4" t="s">
        <v>46</v>
      </c>
      <c r="D10" s="5">
        <v>22</v>
      </c>
      <c r="E10" s="4" t="s">
        <v>35</v>
      </c>
      <c r="F10" s="5">
        <v>5368</v>
      </c>
      <c r="G10" s="5">
        <v>0</v>
      </c>
      <c r="H10" s="6">
        <v>11.7</v>
      </c>
      <c r="I10" s="6">
        <v>8.1999999999999993</v>
      </c>
      <c r="J10" s="6">
        <v>66.67</v>
      </c>
      <c r="K10" s="6">
        <v>6.92</v>
      </c>
      <c r="L10" s="6">
        <v>64.89</v>
      </c>
      <c r="M10" s="6">
        <v>0.5</v>
      </c>
      <c r="N10" s="6">
        <v>5.94</v>
      </c>
      <c r="O10" s="6">
        <v>8.25</v>
      </c>
      <c r="P10" s="6">
        <v>0.84</v>
      </c>
      <c r="Q10" s="5">
        <v>6</v>
      </c>
      <c r="R10" s="6">
        <v>79.790000000000006</v>
      </c>
      <c r="S10" s="6">
        <v>21.61</v>
      </c>
      <c r="T10" s="6">
        <v>68.89</v>
      </c>
      <c r="U10" s="6">
        <v>54.16</v>
      </c>
      <c r="V10" s="6">
        <v>10.58</v>
      </c>
      <c r="W10" s="6">
        <v>66.400000000000006</v>
      </c>
      <c r="X10" s="7">
        <f t="shared" si="0"/>
        <v>82.27</v>
      </c>
    </row>
    <row r="11" spans="1:24" ht="20" customHeight="1" x14ac:dyDescent="0.2">
      <c r="A11" s="8" t="s">
        <v>47</v>
      </c>
      <c r="B11" s="8" t="s">
        <v>48</v>
      </c>
      <c r="C11" s="8" t="s">
        <v>49</v>
      </c>
      <c r="D11" s="9">
        <v>25</v>
      </c>
      <c r="E11" s="8" t="s">
        <v>35</v>
      </c>
      <c r="F11" s="9">
        <v>5265</v>
      </c>
      <c r="G11" s="9">
        <v>0</v>
      </c>
      <c r="H11" s="10">
        <v>9.73</v>
      </c>
      <c r="I11" s="10">
        <v>4.67</v>
      </c>
      <c r="J11" s="10">
        <v>62.27</v>
      </c>
      <c r="K11" s="10">
        <v>4.07</v>
      </c>
      <c r="L11" s="10">
        <v>68.069999999999993</v>
      </c>
      <c r="M11" s="10">
        <v>0.84</v>
      </c>
      <c r="N11" s="10">
        <v>6.63</v>
      </c>
      <c r="O11" s="10">
        <v>8.65</v>
      </c>
      <c r="P11" s="10">
        <v>0.7</v>
      </c>
      <c r="Q11" s="9">
        <v>1</v>
      </c>
      <c r="R11" s="10">
        <v>65.75</v>
      </c>
      <c r="S11" s="10">
        <v>19.09</v>
      </c>
      <c r="T11" s="10">
        <v>54.34</v>
      </c>
      <c r="U11" s="10">
        <v>43.12</v>
      </c>
      <c r="V11" s="10">
        <v>9.11</v>
      </c>
      <c r="W11" s="10">
        <v>69.040000000000006</v>
      </c>
      <c r="X11" s="11">
        <f t="shared" si="0"/>
        <v>74</v>
      </c>
    </row>
    <row r="12" spans="1:24" ht="20" customHeight="1" x14ac:dyDescent="0.2">
      <c r="A12" s="4" t="s">
        <v>50</v>
      </c>
      <c r="B12" s="4" t="s">
        <v>51</v>
      </c>
      <c r="C12" s="4" t="s">
        <v>52</v>
      </c>
      <c r="D12" s="5">
        <v>22</v>
      </c>
      <c r="E12" s="4" t="s">
        <v>53</v>
      </c>
      <c r="F12" s="5">
        <v>4921</v>
      </c>
      <c r="G12" s="5">
        <v>185</v>
      </c>
      <c r="H12" s="6">
        <v>8.76</v>
      </c>
      <c r="I12" s="6">
        <v>4.55</v>
      </c>
      <c r="J12" s="6">
        <v>66.67</v>
      </c>
      <c r="K12" s="6">
        <v>6.44</v>
      </c>
      <c r="L12" s="6">
        <v>65.91</v>
      </c>
      <c r="M12" s="6">
        <v>0.9</v>
      </c>
      <c r="N12" s="6">
        <v>5.49</v>
      </c>
      <c r="O12" s="6">
        <v>8.33</v>
      </c>
      <c r="P12" s="6">
        <v>0.84</v>
      </c>
      <c r="Q12" s="5">
        <v>3</v>
      </c>
      <c r="R12" s="6">
        <v>82.91</v>
      </c>
      <c r="S12" s="6">
        <v>29.21</v>
      </c>
      <c r="T12" s="6">
        <v>69.25</v>
      </c>
      <c r="U12" s="6">
        <v>48.49</v>
      </c>
      <c r="V12" s="6">
        <v>14.43</v>
      </c>
      <c r="W12" s="6">
        <v>74.650000000000006</v>
      </c>
      <c r="X12" s="7">
        <f t="shared" si="0"/>
        <v>84.51</v>
      </c>
    </row>
    <row r="13" spans="1:24" ht="20" customHeight="1" x14ac:dyDescent="0.2">
      <c r="A13" s="8" t="s">
        <v>54</v>
      </c>
      <c r="B13" s="8" t="s">
        <v>55</v>
      </c>
      <c r="C13" s="8" t="s">
        <v>49</v>
      </c>
      <c r="D13" s="9">
        <v>26</v>
      </c>
      <c r="E13" s="8" t="s">
        <v>35</v>
      </c>
      <c r="F13" s="9">
        <v>4917</v>
      </c>
      <c r="G13" s="9">
        <v>188</v>
      </c>
      <c r="H13" s="10">
        <v>8.73</v>
      </c>
      <c r="I13" s="10">
        <v>4.05</v>
      </c>
      <c r="J13" s="10">
        <v>62.9</v>
      </c>
      <c r="K13" s="10">
        <v>6.75</v>
      </c>
      <c r="L13" s="10">
        <v>64.23</v>
      </c>
      <c r="M13" s="10">
        <v>0.71</v>
      </c>
      <c r="N13" s="10">
        <v>6.02</v>
      </c>
      <c r="O13" s="10">
        <v>8.8000000000000007</v>
      </c>
      <c r="P13" s="10">
        <v>0.93</v>
      </c>
      <c r="Q13" s="9">
        <v>1</v>
      </c>
      <c r="R13" s="10">
        <v>81.19</v>
      </c>
      <c r="S13" s="10">
        <v>25.7</v>
      </c>
      <c r="T13" s="10">
        <v>68.23</v>
      </c>
      <c r="U13" s="10">
        <v>46.2</v>
      </c>
      <c r="V13" s="10">
        <v>12.28</v>
      </c>
      <c r="W13" s="10">
        <v>67.81</v>
      </c>
      <c r="X13" s="11">
        <f t="shared" si="0"/>
        <v>79.540000000000006</v>
      </c>
    </row>
    <row r="14" spans="1:24" ht="20" customHeight="1" x14ac:dyDescent="0.2">
      <c r="A14" s="4" t="s">
        <v>56</v>
      </c>
      <c r="B14" s="4" t="s">
        <v>57</v>
      </c>
      <c r="C14" s="4" t="s">
        <v>58</v>
      </c>
      <c r="D14" s="5">
        <v>29</v>
      </c>
      <c r="E14" s="4" t="s">
        <v>35</v>
      </c>
      <c r="F14" s="5">
        <v>4850</v>
      </c>
      <c r="G14" s="5">
        <v>187</v>
      </c>
      <c r="H14" s="6">
        <v>9.7799999999999994</v>
      </c>
      <c r="I14" s="6">
        <v>5.07</v>
      </c>
      <c r="J14" s="6">
        <v>69.599999999999994</v>
      </c>
      <c r="K14" s="6">
        <v>8.6300000000000008</v>
      </c>
      <c r="L14" s="6">
        <v>65.81</v>
      </c>
      <c r="M14" s="6">
        <v>0.87</v>
      </c>
      <c r="N14" s="6">
        <v>6.12</v>
      </c>
      <c r="O14" s="6">
        <v>8.81</v>
      </c>
      <c r="P14" s="6">
        <v>1.08</v>
      </c>
      <c r="Q14" s="5">
        <v>4</v>
      </c>
      <c r="R14" s="6">
        <v>77.53</v>
      </c>
      <c r="S14" s="6">
        <v>20.47</v>
      </c>
      <c r="T14" s="6">
        <v>63.55</v>
      </c>
      <c r="U14" s="6">
        <v>55.82</v>
      </c>
      <c r="V14" s="6">
        <v>10.43</v>
      </c>
      <c r="W14" s="6">
        <v>66.010000000000005</v>
      </c>
      <c r="X14" s="7">
        <f t="shared" si="0"/>
        <v>79.67</v>
      </c>
    </row>
    <row r="15" spans="1:24" ht="20" customHeight="1" x14ac:dyDescent="0.2">
      <c r="A15" s="8" t="s">
        <v>59</v>
      </c>
      <c r="B15" s="8" t="s">
        <v>45</v>
      </c>
      <c r="C15" s="8" t="s">
        <v>60</v>
      </c>
      <c r="D15" s="9">
        <v>20</v>
      </c>
      <c r="E15" s="10"/>
      <c r="F15" s="9">
        <v>4680</v>
      </c>
      <c r="G15" s="9">
        <v>0</v>
      </c>
      <c r="H15" s="10">
        <v>9.6199999999999992</v>
      </c>
      <c r="I15" s="10">
        <v>5.65</v>
      </c>
      <c r="J15" s="10">
        <v>71.77</v>
      </c>
      <c r="K15" s="10">
        <v>5.81</v>
      </c>
      <c r="L15" s="10">
        <v>65.89</v>
      </c>
      <c r="M15" s="10">
        <v>0.63</v>
      </c>
      <c r="N15" s="10">
        <v>5.46</v>
      </c>
      <c r="O15" s="10">
        <v>8.1999999999999993</v>
      </c>
      <c r="P15" s="10">
        <v>0.83</v>
      </c>
      <c r="Q15" s="9">
        <v>1</v>
      </c>
      <c r="R15" s="10">
        <v>85.18</v>
      </c>
      <c r="S15" s="10">
        <v>23.06</v>
      </c>
      <c r="T15" s="10">
        <v>73.89</v>
      </c>
      <c r="U15" s="10">
        <v>45.86</v>
      </c>
      <c r="V15" s="10">
        <v>10.1</v>
      </c>
      <c r="W15" s="10">
        <v>63.62</v>
      </c>
      <c r="X15" s="11">
        <f t="shared" si="0"/>
        <v>81.03</v>
      </c>
    </row>
    <row r="16" spans="1:24" ht="20" customHeight="1" x14ac:dyDescent="0.2">
      <c r="A16" s="4" t="s">
        <v>61</v>
      </c>
      <c r="B16" s="4" t="s">
        <v>62</v>
      </c>
      <c r="C16" s="4" t="s">
        <v>63</v>
      </c>
      <c r="D16" s="5">
        <v>19</v>
      </c>
      <c r="E16" s="4" t="s">
        <v>29</v>
      </c>
      <c r="F16" s="5">
        <v>3431</v>
      </c>
      <c r="G16" s="5">
        <v>0</v>
      </c>
      <c r="H16" s="6">
        <v>8.34</v>
      </c>
      <c r="I16" s="6">
        <v>4.72</v>
      </c>
      <c r="J16" s="6">
        <v>62.22</v>
      </c>
      <c r="K16" s="6">
        <v>5.69</v>
      </c>
      <c r="L16" s="6">
        <v>46.08</v>
      </c>
      <c r="M16" s="6">
        <v>0.66</v>
      </c>
      <c r="N16" s="6">
        <v>5.4</v>
      </c>
      <c r="O16" s="6">
        <v>6.48</v>
      </c>
      <c r="P16" s="6">
        <v>0.42</v>
      </c>
      <c r="Q16" s="5">
        <v>1</v>
      </c>
      <c r="R16" s="6">
        <v>82.75</v>
      </c>
      <c r="S16" s="6">
        <v>17.989999999999998</v>
      </c>
      <c r="T16" s="6">
        <v>65.16</v>
      </c>
      <c r="U16" s="6">
        <v>46.67</v>
      </c>
      <c r="V16" s="6">
        <v>8.42</v>
      </c>
      <c r="W16" s="6">
        <v>63.55</v>
      </c>
      <c r="X16" s="7">
        <f t="shared" si="0"/>
        <v>68.77</v>
      </c>
    </row>
    <row r="17" spans="1:24" ht="20" customHeight="1" x14ac:dyDescent="0.2">
      <c r="A17" s="8" t="s">
        <v>64</v>
      </c>
      <c r="B17" s="8" t="s">
        <v>65</v>
      </c>
      <c r="C17" s="8" t="s">
        <v>66</v>
      </c>
      <c r="D17" s="9">
        <v>22</v>
      </c>
      <c r="E17" s="8" t="s">
        <v>35</v>
      </c>
      <c r="F17" s="9">
        <v>3324</v>
      </c>
      <c r="G17" s="9">
        <v>185</v>
      </c>
      <c r="H17" s="10">
        <v>10.4</v>
      </c>
      <c r="I17" s="10">
        <v>5.96</v>
      </c>
      <c r="J17" s="10">
        <v>61.36</v>
      </c>
      <c r="K17" s="10">
        <v>5.04</v>
      </c>
      <c r="L17" s="10">
        <v>50</v>
      </c>
      <c r="M17" s="10">
        <v>1.19</v>
      </c>
      <c r="N17" s="10">
        <v>6.58</v>
      </c>
      <c r="O17" s="10">
        <v>8.67</v>
      </c>
      <c r="P17" s="10">
        <v>0.73</v>
      </c>
      <c r="Q17" s="9">
        <v>0</v>
      </c>
      <c r="R17" s="10">
        <v>72.58</v>
      </c>
      <c r="S17" s="10">
        <v>19.52</v>
      </c>
      <c r="T17" s="10">
        <v>57.84</v>
      </c>
      <c r="U17" s="10">
        <v>41.54</v>
      </c>
      <c r="V17" s="10">
        <v>9.0399999999999991</v>
      </c>
      <c r="W17" s="10">
        <v>53.29</v>
      </c>
      <c r="X17" s="11">
        <f t="shared" si="0"/>
        <v>71.52</v>
      </c>
    </row>
    <row r="18" spans="1:24" ht="20" customHeight="1" x14ac:dyDescent="0.2">
      <c r="A18" s="4" t="s">
        <v>67</v>
      </c>
      <c r="B18" s="4" t="s">
        <v>31</v>
      </c>
      <c r="C18" s="4" t="s">
        <v>68</v>
      </c>
      <c r="D18" s="5">
        <v>18</v>
      </c>
      <c r="E18" s="6"/>
      <c r="F18" s="5">
        <v>2494</v>
      </c>
      <c r="G18" s="5">
        <v>0</v>
      </c>
      <c r="H18" s="6">
        <v>10.32</v>
      </c>
      <c r="I18" s="6">
        <v>7.18</v>
      </c>
      <c r="J18" s="6">
        <v>61.81</v>
      </c>
      <c r="K18" s="6">
        <v>4.26</v>
      </c>
      <c r="L18" s="6">
        <v>54.24</v>
      </c>
      <c r="M18" s="6">
        <v>0.4</v>
      </c>
      <c r="N18" s="6">
        <v>5.7</v>
      </c>
      <c r="O18" s="6">
        <v>7.71</v>
      </c>
      <c r="P18" s="6">
        <v>1.26</v>
      </c>
      <c r="Q18" s="5">
        <v>0</v>
      </c>
      <c r="R18" s="6">
        <v>82.03</v>
      </c>
      <c r="S18" s="6">
        <v>24.07</v>
      </c>
      <c r="T18" s="6">
        <v>72.56</v>
      </c>
      <c r="U18" s="6">
        <v>53.03</v>
      </c>
      <c r="V18" s="6">
        <v>10.72</v>
      </c>
      <c r="W18" s="6">
        <v>71.38</v>
      </c>
      <c r="X18" s="7">
        <f t="shared" si="0"/>
        <v>76.98</v>
      </c>
    </row>
    <row r="19" spans="1:24" ht="20" customHeight="1" x14ac:dyDescent="0.2">
      <c r="A19" s="8" t="s">
        <v>69</v>
      </c>
      <c r="B19" s="8" t="s">
        <v>37</v>
      </c>
      <c r="C19" s="8" t="s">
        <v>70</v>
      </c>
      <c r="D19" s="9">
        <v>21</v>
      </c>
      <c r="E19" s="10"/>
      <c r="F19" s="9">
        <v>1976</v>
      </c>
      <c r="G19" s="9">
        <v>185</v>
      </c>
      <c r="H19" s="10">
        <v>11.2</v>
      </c>
      <c r="I19" s="10">
        <v>5.19</v>
      </c>
      <c r="J19" s="10">
        <v>62.28</v>
      </c>
      <c r="K19" s="10">
        <v>7.56</v>
      </c>
      <c r="L19" s="10">
        <v>64.459999999999994</v>
      </c>
      <c r="M19" s="10">
        <v>0.64</v>
      </c>
      <c r="N19" s="10">
        <v>7.83</v>
      </c>
      <c r="O19" s="10">
        <v>9.33</v>
      </c>
      <c r="P19" s="10">
        <v>1.32</v>
      </c>
      <c r="Q19" s="9">
        <v>0</v>
      </c>
      <c r="R19" s="10">
        <v>80.31</v>
      </c>
      <c r="S19" s="10">
        <v>12.53</v>
      </c>
      <c r="T19" s="10">
        <v>65.819999999999993</v>
      </c>
      <c r="U19" s="10">
        <v>50</v>
      </c>
      <c r="V19" s="10">
        <v>5.51</v>
      </c>
      <c r="W19" s="10">
        <v>53.72</v>
      </c>
      <c r="X19" s="11">
        <f t="shared" si="0"/>
        <v>72.81</v>
      </c>
    </row>
    <row r="20" spans="1:24" ht="20" customHeight="1" x14ac:dyDescent="0.2">
      <c r="A20" s="4" t="s">
        <v>71</v>
      </c>
      <c r="B20" s="4" t="s">
        <v>57</v>
      </c>
      <c r="C20" s="4" t="s">
        <v>72</v>
      </c>
      <c r="D20" s="5">
        <v>20</v>
      </c>
      <c r="E20" s="4" t="s">
        <v>35</v>
      </c>
      <c r="F20" s="5">
        <v>1676</v>
      </c>
      <c r="G20" s="5">
        <v>0</v>
      </c>
      <c r="H20" s="6">
        <v>8.75</v>
      </c>
      <c r="I20" s="6">
        <v>5.48</v>
      </c>
      <c r="J20" s="6">
        <v>61.76</v>
      </c>
      <c r="K20" s="6">
        <v>4.3499999999999996</v>
      </c>
      <c r="L20" s="6">
        <v>51.85</v>
      </c>
      <c r="M20" s="6">
        <v>0.81</v>
      </c>
      <c r="N20" s="6">
        <v>5.16</v>
      </c>
      <c r="O20" s="6">
        <v>6.92</v>
      </c>
      <c r="P20" s="6">
        <v>0.97</v>
      </c>
      <c r="Q20" s="5">
        <v>0</v>
      </c>
      <c r="R20" s="6">
        <v>69.83</v>
      </c>
      <c r="S20" s="6">
        <v>21.48</v>
      </c>
      <c r="T20" s="6">
        <v>59</v>
      </c>
      <c r="U20" s="6">
        <v>43.84</v>
      </c>
      <c r="V20" s="6">
        <v>11.12</v>
      </c>
      <c r="W20" s="6">
        <v>64.73</v>
      </c>
      <c r="X20" s="7">
        <f t="shared" si="0"/>
        <v>72.17</v>
      </c>
    </row>
    <row r="21" spans="1:24" ht="20" customHeight="1" x14ac:dyDescent="0.2">
      <c r="A21" s="8" t="s">
        <v>73</v>
      </c>
      <c r="B21" s="8" t="s">
        <v>62</v>
      </c>
      <c r="C21" s="8" t="s">
        <v>74</v>
      </c>
      <c r="D21" s="9">
        <v>19</v>
      </c>
      <c r="E21" s="10"/>
      <c r="F21" s="9">
        <v>1154</v>
      </c>
      <c r="G21" s="9">
        <v>0</v>
      </c>
      <c r="H21" s="10">
        <v>11.46</v>
      </c>
      <c r="I21" s="10">
        <v>6.71</v>
      </c>
      <c r="J21" s="10">
        <v>77.91</v>
      </c>
      <c r="K21" s="10">
        <v>7.64</v>
      </c>
      <c r="L21" s="10">
        <v>51.02</v>
      </c>
      <c r="M21" s="10">
        <v>0.62</v>
      </c>
      <c r="N21" s="10">
        <v>5.85</v>
      </c>
      <c r="O21" s="10">
        <v>7.12</v>
      </c>
      <c r="P21" s="10">
        <v>0.55000000000000004</v>
      </c>
      <c r="Q21" s="9">
        <v>0</v>
      </c>
      <c r="R21" s="10">
        <v>67.63</v>
      </c>
      <c r="S21" s="10">
        <v>19.809999999999999</v>
      </c>
      <c r="T21" s="10">
        <v>53.15</v>
      </c>
      <c r="U21" s="10">
        <v>45.89</v>
      </c>
      <c r="V21" s="10">
        <v>10.92</v>
      </c>
      <c r="W21" s="10">
        <v>62.14</v>
      </c>
      <c r="X21" s="11">
        <f t="shared" si="0"/>
        <v>79.33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"/>
  <sheetViews>
    <sheetView workbookViewId="0"/>
  </sheetViews>
  <sheetFormatPr baseColWidth="10" defaultColWidth="8.83203125" defaultRowHeight="15" x14ac:dyDescent="0.2"/>
  <cols>
    <col min="1" max="1" width="115" customWidth="1"/>
    <col min="2" max="2" width="12" customWidth="1"/>
    <col min="3" max="3" width="18" customWidth="1"/>
    <col min="4" max="5" width="12" customWidth="1"/>
    <col min="6" max="7" width="26" customWidth="1"/>
    <col min="8" max="9" width="23" customWidth="1"/>
    <col min="10" max="10" width="24" customWidth="1"/>
    <col min="11" max="11" width="22" customWidth="1"/>
    <col min="12" max="12" width="16" customWidth="1"/>
    <col min="13" max="13" width="13" customWidth="1"/>
    <col min="14" max="14" width="18" customWidth="1"/>
    <col min="15" max="15" width="23" customWidth="1"/>
    <col min="16" max="16" width="19" customWidth="1"/>
    <col min="17" max="17" width="26" customWidth="1"/>
    <col min="18" max="18" width="27" customWidth="1"/>
    <col min="19" max="19" width="22" customWidth="1"/>
    <col min="20" max="20" width="25" customWidth="1"/>
    <col min="21" max="21" width="30" customWidth="1"/>
    <col min="22" max="22" width="32" customWidth="1"/>
    <col min="23" max="23" width="37" customWidth="1"/>
    <col min="24" max="24" width="29" customWidth="1"/>
    <col min="25" max="25" width="34" customWidth="1"/>
    <col min="26" max="26" width="64" customWidth="1"/>
  </cols>
  <sheetData>
    <row r="1" spans="1:26" ht="19" x14ac:dyDescent="0.25">
      <c r="A1" s="1" t="s">
        <v>75</v>
      </c>
    </row>
    <row r="2" spans="1:26" x14ac:dyDescent="0.2">
      <c r="A2" s="2" t="s">
        <v>1</v>
      </c>
    </row>
    <row r="3" spans="1:26" ht="24" customHeight="1" x14ac:dyDescent="0.2">
      <c r="A3" s="3" t="s">
        <v>2</v>
      </c>
      <c r="B3" s="3" t="s">
        <v>5</v>
      </c>
      <c r="C3" s="3" t="s">
        <v>7</v>
      </c>
      <c r="D3" s="3" t="s">
        <v>76</v>
      </c>
      <c r="E3" s="3" t="s">
        <v>77</v>
      </c>
      <c r="F3" s="3" t="s">
        <v>10</v>
      </c>
      <c r="G3" s="3" t="s">
        <v>11</v>
      </c>
      <c r="H3" s="3" t="s">
        <v>12</v>
      </c>
      <c r="I3" s="3" t="s">
        <v>13</v>
      </c>
      <c r="J3" s="3" t="s">
        <v>15</v>
      </c>
      <c r="K3" s="3" t="s">
        <v>16</v>
      </c>
      <c r="L3" s="3" t="s">
        <v>17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19</v>
      </c>
      <c r="T3" s="3" t="s">
        <v>20</v>
      </c>
      <c r="U3" s="3" t="s">
        <v>21</v>
      </c>
      <c r="V3" s="3" t="s">
        <v>84</v>
      </c>
      <c r="W3" s="3" t="s">
        <v>85</v>
      </c>
      <c r="X3" s="3" t="s">
        <v>23</v>
      </c>
      <c r="Y3" s="3" t="s">
        <v>24</v>
      </c>
      <c r="Z3" s="3" t="s">
        <v>25</v>
      </c>
    </row>
    <row r="4" spans="1:26" ht="20" customHeight="1" x14ac:dyDescent="0.2">
      <c r="A4" s="4" t="s">
        <v>86</v>
      </c>
      <c r="B4" s="5">
        <v>21</v>
      </c>
      <c r="C4" s="5">
        <v>6438</v>
      </c>
      <c r="D4" s="5">
        <v>7</v>
      </c>
      <c r="E4" s="6">
        <v>9.01</v>
      </c>
      <c r="F4" s="6">
        <v>8.44</v>
      </c>
      <c r="G4" s="6">
        <v>65.56</v>
      </c>
      <c r="H4" s="6">
        <v>2.75</v>
      </c>
      <c r="I4" s="6">
        <v>50.25</v>
      </c>
      <c r="J4" s="6">
        <v>5.16</v>
      </c>
      <c r="K4" s="6">
        <v>6.34</v>
      </c>
      <c r="L4" s="6">
        <v>0.78</v>
      </c>
      <c r="M4" s="6">
        <v>0.13</v>
      </c>
      <c r="N4" s="6">
        <v>1.51</v>
      </c>
      <c r="O4" s="6">
        <v>30.56</v>
      </c>
      <c r="P4" s="6">
        <v>1.1200000000000001</v>
      </c>
      <c r="Q4" s="6">
        <v>72.5</v>
      </c>
      <c r="R4" s="6">
        <v>1.01</v>
      </c>
      <c r="S4" s="6">
        <v>68.92</v>
      </c>
      <c r="T4" s="6">
        <v>19.420000000000002</v>
      </c>
      <c r="U4" s="6">
        <v>59.32</v>
      </c>
      <c r="V4" s="6">
        <v>8.51</v>
      </c>
      <c r="W4" s="6">
        <v>53.53</v>
      </c>
      <c r="X4" s="6">
        <v>9.83</v>
      </c>
      <c r="Y4" s="6">
        <v>65.58</v>
      </c>
      <c r="Z4" s="7">
        <f t="shared" ref="Z4:Z15" si="0">ROUND((G4*0.25)+(I4*0.2)+(S4*0.2)+(M4*10)+(R4*2), 2)</f>
        <v>43.54</v>
      </c>
    </row>
    <row r="5" spans="1:26" ht="20" customHeight="1" x14ac:dyDescent="0.2">
      <c r="A5" s="8" t="s">
        <v>87</v>
      </c>
      <c r="B5" s="9">
        <v>24</v>
      </c>
      <c r="C5" s="9">
        <v>6016</v>
      </c>
      <c r="D5" s="9">
        <v>7</v>
      </c>
      <c r="E5" s="10">
        <v>7.68</v>
      </c>
      <c r="F5" s="10">
        <v>6.16</v>
      </c>
      <c r="G5" s="10">
        <v>68.45</v>
      </c>
      <c r="H5" s="10">
        <v>2.8</v>
      </c>
      <c r="I5" s="10">
        <v>56.68</v>
      </c>
      <c r="J5" s="10">
        <v>4.32</v>
      </c>
      <c r="K5" s="10">
        <v>5.56</v>
      </c>
      <c r="L5" s="10">
        <v>0.45</v>
      </c>
      <c r="M5" s="10">
        <v>0.11</v>
      </c>
      <c r="N5" s="10">
        <v>3.02</v>
      </c>
      <c r="O5" s="10">
        <v>30.2</v>
      </c>
      <c r="P5" s="10">
        <v>0.99</v>
      </c>
      <c r="Q5" s="10">
        <v>66.67</v>
      </c>
      <c r="R5" s="10">
        <v>1.06</v>
      </c>
      <c r="S5" s="10">
        <v>66.64</v>
      </c>
      <c r="T5" s="10">
        <v>19.28</v>
      </c>
      <c r="U5" s="10">
        <v>59.43</v>
      </c>
      <c r="V5" s="10">
        <v>6.88</v>
      </c>
      <c r="W5" s="10">
        <v>50.87</v>
      </c>
      <c r="X5" s="10">
        <v>10.83</v>
      </c>
      <c r="Y5" s="10">
        <v>64.78</v>
      </c>
      <c r="Z5" s="11">
        <f t="shared" si="0"/>
        <v>45</v>
      </c>
    </row>
    <row r="6" spans="1:26" ht="20" customHeight="1" x14ac:dyDescent="0.2">
      <c r="A6" s="4" t="s">
        <v>88</v>
      </c>
      <c r="B6" s="5">
        <v>24</v>
      </c>
      <c r="C6" s="5">
        <v>5856</v>
      </c>
      <c r="D6" s="5">
        <v>1</v>
      </c>
      <c r="E6" s="6">
        <v>3.1</v>
      </c>
      <c r="F6" s="6">
        <v>6.26</v>
      </c>
      <c r="G6" s="6">
        <v>64.86</v>
      </c>
      <c r="H6" s="6">
        <v>3.35</v>
      </c>
      <c r="I6" s="6">
        <v>56.42</v>
      </c>
      <c r="J6" s="6">
        <v>4.53</v>
      </c>
      <c r="K6" s="6">
        <v>5.61</v>
      </c>
      <c r="L6" s="6">
        <v>0.4</v>
      </c>
      <c r="M6" s="6">
        <v>0.05</v>
      </c>
      <c r="N6" s="6">
        <v>1.94</v>
      </c>
      <c r="O6" s="6">
        <v>40.479999999999997</v>
      </c>
      <c r="P6" s="6">
        <v>1.97</v>
      </c>
      <c r="Q6" s="6">
        <v>69.53</v>
      </c>
      <c r="R6" s="6">
        <v>1.89</v>
      </c>
      <c r="S6" s="6">
        <v>77.12</v>
      </c>
      <c r="T6" s="6">
        <v>18.55</v>
      </c>
      <c r="U6" s="6">
        <v>65.290000000000006</v>
      </c>
      <c r="V6" s="6">
        <v>7.09</v>
      </c>
      <c r="W6" s="6">
        <v>63.77</v>
      </c>
      <c r="X6" s="6">
        <v>10.84</v>
      </c>
      <c r="Y6" s="6">
        <v>65.959999999999994</v>
      </c>
      <c r="Z6" s="7">
        <f t="shared" si="0"/>
        <v>47.2</v>
      </c>
    </row>
    <row r="7" spans="1:26" ht="20" customHeight="1" x14ac:dyDescent="0.2">
      <c r="A7" s="8" t="s">
        <v>42</v>
      </c>
      <c r="B7" s="9">
        <v>21</v>
      </c>
      <c r="C7" s="9">
        <v>5645</v>
      </c>
      <c r="D7" s="9">
        <v>4</v>
      </c>
      <c r="E7" s="10">
        <v>4.1100000000000003</v>
      </c>
      <c r="F7" s="10">
        <v>6.38</v>
      </c>
      <c r="G7" s="10">
        <v>62.5</v>
      </c>
      <c r="H7" s="10">
        <v>4.07</v>
      </c>
      <c r="I7" s="10">
        <v>58.04</v>
      </c>
      <c r="J7" s="10">
        <v>4.72</v>
      </c>
      <c r="K7" s="10">
        <v>6.29</v>
      </c>
      <c r="L7" s="10">
        <v>0.56000000000000005</v>
      </c>
      <c r="M7" s="10">
        <v>7.0000000000000007E-2</v>
      </c>
      <c r="N7" s="10">
        <v>2.06</v>
      </c>
      <c r="O7" s="10">
        <v>34.11</v>
      </c>
      <c r="P7" s="10">
        <v>0.56999999999999995</v>
      </c>
      <c r="Q7" s="10">
        <v>61.11</v>
      </c>
      <c r="R7" s="10">
        <v>1.08</v>
      </c>
      <c r="S7" s="10">
        <v>78.239999999999995</v>
      </c>
      <c r="T7" s="10">
        <v>22.24</v>
      </c>
      <c r="U7" s="10">
        <v>67.239999999999995</v>
      </c>
      <c r="V7" s="10">
        <v>8.31</v>
      </c>
      <c r="W7" s="10">
        <v>62</v>
      </c>
      <c r="X7" s="10">
        <v>12.28</v>
      </c>
      <c r="Y7" s="10">
        <v>71.3</v>
      </c>
      <c r="Z7" s="11">
        <f t="shared" si="0"/>
        <v>45.74</v>
      </c>
    </row>
    <row r="8" spans="1:26" ht="20" customHeight="1" x14ac:dyDescent="0.2">
      <c r="A8" s="4" t="s">
        <v>89</v>
      </c>
      <c r="B8" s="5">
        <v>23</v>
      </c>
      <c r="C8" s="5">
        <v>5066</v>
      </c>
      <c r="D8" s="5">
        <v>6</v>
      </c>
      <c r="E8" s="6">
        <v>5.26</v>
      </c>
      <c r="F8" s="6">
        <v>8.1199999999999992</v>
      </c>
      <c r="G8" s="6">
        <v>66.739999999999995</v>
      </c>
      <c r="H8" s="6">
        <v>1.72</v>
      </c>
      <c r="I8" s="6">
        <v>62.89</v>
      </c>
      <c r="J8" s="6">
        <v>4.7300000000000004</v>
      </c>
      <c r="K8" s="6">
        <v>6.34</v>
      </c>
      <c r="L8" s="6">
        <v>0.73</v>
      </c>
      <c r="M8" s="6">
        <v>0.09</v>
      </c>
      <c r="N8" s="6">
        <v>3.22</v>
      </c>
      <c r="O8" s="6">
        <v>33.15</v>
      </c>
      <c r="P8" s="6">
        <v>2.4300000000000002</v>
      </c>
      <c r="Q8" s="6">
        <v>53.28</v>
      </c>
      <c r="R8" s="6">
        <v>1.47</v>
      </c>
      <c r="S8" s="6">
        <v>72.63</v>
      </c>
      <c r="T8" s="6">
        <v>18.21</v>
      </c>
      <c r="U8" s="6">
        <v>60.88</v>
      </c>
      <c r="V8" s="6">
        <v>7.35</v>
      </c>
      <c r="W8" s="6">
        <v>56.04</v>
      </c>
      <c r="X8" s="6">
        <v>10.34</v>
      </c>
      <c r="Y8" s="6">
        <v>68.73</v>
      </c>
      <c r="Z8" s="7">
        <f t="shared" si="0"/>
        <v>47.63</v>
      </c>
    </row>
    <row r="9" spans="1:26" ht="20" customHeight="1" x14ac:dyDescent="0.2">
      <c r="A9" s="8" t="s">
        <v>90</v>
      </c>
      <c r="B9" s="9">
        <v>22</v>
      </c>
      <c r="C9" s="9">
        <v>4198</v>
      </c>
      <c r="D9" s="9">
        <v>2</v>
      </c>
      <c r="E9" s="10">
        <v>2.31</v>
      </c>
      <c r="F9" s="10">
        <v>6.86</v>
      </c>
      <c r="G9" s="10">
        <v>55.63</v>
      </c>
      <c r="H9" s="10">
        <v>3.9</v>
      </c>
      <c r="I9" s="10">
        <v>51.65</v>
      </c>
      <c r="J9" s="10">
        <v>5</v>
      </c>
      <c r="K9" s="10">
        <v>6.9</v>
      </c>
      <c r="L9" s="10">
        <v>1.07</v>
      </c>
      <c r="M9" s="10">
        <v>0.05</v>
      </c>
      <c r="N9" s="10">
        <v>3.34</v>
      </c>
      <c r="O9" s="10">
        <v>22.44</v>
      </c>
      <c r="P9" s="10">
        <v>2.29</v>
      </c>
      <c r="Q9" s="10">
        <v>67.290000000000006</v>
      </c>
      <c r="R9" s="10">
        <v>1.59</v>
      </c>
      <c r="S9" s="10">
        <v>69.45</v>
      </c>
      <c r="T9" s="10">
        <v>14.17</v>
      </c>
      <c r="U9" s="10">
        <v>58.25</v>
      </c>
      <c r="V9" s="10">
        <v>6.5</v>
      </c>
      <c r="W9" s="10">
        <v>59.08</v>
      </c>
      <c r="X9" s="10">
        <v>9.3699999999999992</v>
      </c>
      <c r="Y9" s="10">
        <v>70.02</v>
      </c>
      <c r="Z9" s="11">
        <f t="shared" si="0"/>
        <v>41.81</v>
      </c>
    </row>
    <row r="10" spans="1:26" ht="20" customHeight="1" x14ac:dyDescent="0.2">
      <c r="A10" s="4" t="s">
        <v>91</v>
      </c>
      <c r="B10" s="5">
        <v>25</v>
      </c>
      <c r="C10" s="5">
        <v>3114</v>
      </c>
      <c r="D10" s="5">
        <v>3</v>
      </c>
      <c r="E10" s="6">
        <v>2.04</v>
      </c>
      <c r="F10" s="6">
        <v>7.05</v>
      </c>
      <c r="G10" s="6">
        <v>61.89</v>
      </c>
      <c r="H10" s="6">
        <v>4.7699999999999996</v>
      </c>
      <c r="I10" s="6">
        <v>53.33</v>
      </c>
      <c r="J10" s="6">
        <v>5.43</v>
      </c>
      <c r="K10" s="6">
        <v>8.2200000000000006</v>
      </c>
      <c r="L10" s="6">
        <v>0.75</v>
      </c>
      <c r="M10" s="6">
        <v>0.06</v>
      </c>
      <c r="N10" s="6">
        <v>2.46</v>
      </c>
      <c r="O10" s="6">
        <v>28.24</v>
      </c>
      <c r="P10" s="6">
        <v>1.79</v>
      </c>
      <c r="Q10" s="6">
        <v>56.45</v>
      </c>
      <c r="R10" s="6">
        <v>1.68</v>
      </c>
      <c r="S10" s="6">
        <v>75.03</v>
      </c>
      <c r="T10" s="6">
        <v>17.63</v>
      </c>
      <c r="U10" s="6">
        <v>62.62</v>
      </c>
      <c r="V10" s="6">
        <v>8.58</v>
      </c>
      <c r="W10" s="6">
        <v>59.26</v>
      </c>
      <c r="X10" s="6">
        <v>9.48</v>
      </c>
      <c r="Y10" s="6">
        <v>71.650000000000006</v>
      </c>
      <c r="Z10" s="7">
        <f t="shared" si="0"/>
        <v>45.1</v>
      </c>
    </row>
    <row r="11" spans="1:26" ht="20" customHeight="1" x14ac:dyDescent="0.2">
      <c r="A11" s="8" t="s">
        <v>92</v>
      </c>
      <c r="B11" s="9">
        <v>22</v>
      </c>
      <c r="C11" s="9">
        <v>2606</v>
      </c>
      <c r="D11" s="9">
        <v>1</v>
      </c>
      <c r="E11" s="10">
        <v>0.86</v>
      </c>
      <c r="F11" s="10">
        <v>7.91</v>
      </c>
      <c r="G11" s="10">
        <v>72.489999999999995</v>
      </c>
      <c r="H11" s="10">
        <v>8.15</v>
      </c>
      <c r="I11" s="10">
        <v>55.51</v>
      </c>
      <c r="J11" s="10">
        <v>5.18</v>
      </c>
      <c r="K11" s="10">
        <v>6.29</v>
      </c>
      <c r="L11" s="10">
        <v>1.35</v>
      </c>
      <c r="M11" s="10">
        <v>0.03</v>
      </c>
      <c r="N11" s="10">
        <v>0.76</v>
      </c>
      <c r="O11" s="10">
        <v>27.27</v>
      </c>
      <c r="P11" s="10">
        <v>1.1399999999999999</v>
      </c>
      <c r="Q11" s="10">
        <v>66.67</v>
      </c>
      <c r="R11" s="10">
        <v>0.79</v>
      </c>
      <c r="S11" s="10">
        <v>66.39</v>
      </c>
      <c r="T11" s="10">
        <v>11.5</v>
      </c>
      <c r="U11" s="10">
        <v>55.86</v>
      </c>
      <c r="V11" s="10">
        <v>3.21</v>
      </c>
      <c r="W11" s="10">
        <v>40.86</v>
      </c>
      <c r="X11" s="10">
        <v>5.49</v>
      </c>
      <c r="Y11" s="10">
        <v>46.54</v>
      </c>
      <c r="Z11" s="11">
        <f t="shared" si="0"/>
        <v>44.38</v>
      </c>
    </row>
    <row r="12" spans="1:26" ht="20" customHeight="1" x14ac:dyDescent="0.2">
      <c r="A12" s="4" t="s">
        <v>93</v>
      </c>
      <c r="B12" s="5">
        <v>20</v>
      </c>
      <c r="C12" s="5">
        <v>2582</v>
      </c>
      <c r="D12" s="5">
        <v>5</v>
      </c>
      <c r="E12" s="6">
        <v>4.59</v>
      </c>
      <c r="F12" s="6">
        <v>6.41</v>
      </c>
      <c r="G12" s="6">
        <v>53.8</v>
      </c>
      <c r="H12" s="6">
        <v>3.49</v>
      </c>
      <c r="I12" s="6">
        <v>48</v>
      </c>
      <c r="J12" s="6">
        <v>5.58</v>
      </c>
      <c r="K12" s="6">
        <v>6.84</v>
      </c>
      <c r="L12" s="6">
        <v>1.1200000000000001</v>
      </c>
      <c r="M12" s="6">
        <v>0.16</v>
      </c>
      <c r="N12" s="6">
        <v>2.44</v>
      </c>
      <c r="O12" s="6">
        <v>37.14</v>
      </c>
      <c r="P12" s="6">
        <v>1.29</v>
      </c>
      <c r="Q12" s="6">
        <v>62.16</v>
      </c>
      <c r="R12" s="6">
        <v>0.73</v>
      </c>
      <c r="S12" s="6">
        <v>70.08</v>
      </c>
      <c r="T12" s="6">
        <v>22.87</v>
      </c>
      <c r="U12" s="6">
        <v>57.93</v>
      </c>
      <c r="V12" s="6">
        <v>8.3699999999999992</v>
      </c>
      <c r="W12" s="6">
        <v>46.25</v>
      </c>
      <c r="X12" s="6">
        <v>11.47</v>
      </c>
      <c r="Y12" s="6">
        <v>63.83</v>
      </c>
      <c r="Z12" s="7">
        <f t="shared" si="0"/>
        <v>40.130000000000003</v>
      </c>
    </row>
    <row r="13" spans="1:26" ht="20" customHeight="1" x14ac:dyDescent="0.2">
      <c r="A13" s="8" t="s">
        <v>94</v>
      </c>
      <c r="B13" s="9">
        <v>22</v>
      </c>
      <c r="C13" s="9">
        <v>2353</v>
      </c>
      <c r="D13" s="9">
        <v>1</v>
      </c>
      <c r="E13" s="10">
        <v>1.67</v>
      </c>
      <c r="F13" s="10">
        <v>9.4499999999999993</v>
      </c>
      <c r="G13" s="10">
        <v>60.32</v>
      </c>
      <c r="H13" s="10">
        <v>2.68</v>
      </c>
      <c r="I13" s="10">
        <v>40</v>
      </c>
      <c r="J13" s="10">
        <v>4.67</v>
      </c>
      <c r="K13" s="10">
        <v>5.93</v>
      </c>
      <c r="L13" s="10">
        <v>1.8</v>
      </c>
      <c r="M13" s="10">
        <v>0.06</v>
      </c>
      <c r="N13" s="10">
        <v>2.41</v>
      </c>
      <c r="O13" s="10">
        <v>23.81</v>
      </c>
      <c r="P13" s="10">
        <v>3.48</v>
      </c>
      <c r="Q13" s="10">
        <v>53.85</v>
      </c>
      <c r="R13" s="10">
        <v>1.42</v>
      </c>
      <c r="S13" s="10">
        <v>63.68</v>
      </c>
      <c r="T13" s="10">
        <v>17.98</v>
      </c>
      <c r="U13" s="10">
        <v>60.43</v>
      </c>
      <c r="V13" s="10">
        <v>4.3600000000000003</v>
      </c>
      <c r="W13" s="10">
        <v>58.77</v>
      </c>
      <c r="X13" s="10">
        <v>7.99</v>
      </c>
      <c r="Y13" s="10">
        <v>58.85</v>
      </c>
      <c r="Z13" s="11">
        <f t="shared" si="0"/>
        <v>39.26</v>
      </c>
    </row>
    <row r="14" spans="1:26" ht="20" customHeight="1" x14ac:dyDescent="0.2">
      <c r="A14" s="4" t="s">
        <v>95</v>
      </c>
      <c r="B14" s="5">
        <v>18</v>
      </c>
      <c r="C14" s="5">
        <v>2318</v>
      </c>
      <c r="D14" s="5">
        <v>2</v>
      </c>
      <c r="E14" s="6">
        <v>0.53</v>
      </c>
      <c r="F14" s="6">
        <v>5.82</v>
      </c>
      <c r="G14" s="6">
        <v>58.67</v>
      </c>
      <c r="H14" s="6">
        <v>3.73</v>
      </c>
      <c r="I14" s="6">
        <v>65.63</v>
      </c>
      <c r="J14" s="6">
        <v>5.24</v>
      </c>
      <c r="K14" s="6">
        <v>7.91</v>
      </c>
      <c r="L14" s="6">
        <v>0.74</v>
      </c>
      <c r="M14" s="6">
        <v>0.02</v>
      </c>
      <c r="N14" s="6">
        <v>1.4</v>
      </c>
      <c r="O14" s="6">
        <v>33.33</v>
      </c>
      <c r="P14" s="6">
        <v>1.1599999999999999</v>
      </c>
      <c r="Q14" s="6">
        <v>46.67</v>
      </c>
      <c r="R14" s="6">
        <v>1.28</v>
      </c>
      <c r="S14" s="6">
        <v>83.06</v>
      </c>
      <c r="T14" s="6">
        <v>25.55</v>
      </c>
      <c r="U14" s="6">
        <v>70.97</v>
      </c>
      <c r="V14" s="6">
        <v>8.9700000000000006</v>
      </c>
      <c r="W14" s="6">
        <v>60.61</v>
      </c>
      <c r="X14" s="6">
        <v>11.84</v>
      </c>
      <c r="Y14" s="6">
        <v>70.16</v>
      </c>
      <c r="Z14" s="7">
        <f t="shared" si="0"/>
        <v>47.17</v>
      </c>
    </row>
    <row r="15" spans="1:26" ht="20" customHeight="1" x14ac:dyDescent="0.2">
      <c r="A15" s="8" t="s">
        <v>96</v>
      </c>
      <c r="B15" s="9">
        <v>21</v>
      </c>
      <c r="C15" s="9">
        <v>1839</v>
      </c>
      <c r="D15" s="9">
        <v>1</v>
      </c>
      <c r="E15" s="10">
        <v>1.23</v>
      </c>
      <c r="F15" s="10">
        <v>8.9600000000000009</v>
      </c>
      <c r="G15" s="10">
        <v>66.12</v>
      </c>
      <c r="H15" s="10">
        <v>2.89</v>
      </c>
      <c r="I15" s="10">
        <v>52.54</v>
      </c>
      <c r="J15" s="10">
        <v>3.72</v>
      </c>
      <c r="K15" s="10">
        <v>4.71</v>
      </c>
      <c r="L15" s="10">
        <v>1.76</v>
      </c>
      <c r="M15" s="10">
        <v>0.06</v>
      </c>
      <c r="N15" s="10">
        <v>4.45</v>
      </c>
      <c r="O15" s="10">
        <v>25.27</v>
      </c>
      <c r="P15" s="10">
        <v>4.8499999999999996</v>
      </c>
      <c r="Q15" s="10">
        <v>46.46</v>
      </c>
      <c r="R15" s="10">
        <v>2.2999999999999998</v>
      </c>
      <c r="S15" s="10">
        <v>58.72</v>
      </c>
      <c r="T15" s="10">
        <v>7.78</v>
      </c>
      <c r="U15" s="10">
        <v>47.17</v>
      </c>
      <c r="V15" s="10">
        <v>2.59</v>
      </c>
      <c r="W15" s="10">
        <v>60.38</v>
      </c>
      <c r="X15" s="10">
        <v>5.82</v>
      </c>
      <c r="Y15" s="10">
        <v>57.14</v>
      </c>
      <c r="Z15" s="11">
        <f t="shared" si="0"/>
        <v>43.98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6"/>
  <sheetViews>
    <sheetView workbookViewId="0"/>
  </sheetViews>
  <sheetFormatPr baseColWidth="10" defaultColWidth="8.83203125" defaultRowHeight="15" x14ac:dyDescent="0.2"/>
  <cols>
    <col min="1" max="1" width="115" customWidth="1"/>
    <col min="2" max="2" width="12" customWidth="1"/>
    <col min="3" max="3" width="18" customWidth="1"/>
    <col min="4" max="5" width="12" customWidth="1"/>
    <col min="6" max="7" width="26" customWidth="1"/>
    <col min="8" max="9" width="23" customWidth="1"/>
    <col min="10" max="10" width="24" customWidth="1"/>
    <col min="11" max="11" width="22" customWidth="1"/>
    <col min="12" max="12" width="16" customWidth="1"/>
    <col min="13" max="13" width="13" customWidth="1"/>
    <col min="14" max="14" width="18" customWidth="1"/>
    <col min="15" max="15" width="23" customWidth="1"/>
    <col min="16" max="16" width="19" customWidth="1"/>
    <col min="17" max="17" width="26" customWidth="1"/>
    <col min="18" max="18" width="27" customWidth="1"/>
    <col min="19" max="19" width="22" customWidth="1"/>
    <col min="20" max="20" width="25" customWidth="1"/>
    <col min="21" max="21" width="30" customWidth="1"/>
    <col min="22" max="22" width="32" customWidth="1"/>
    <col min="23" max="23" width="37" customWidth="1"/>
    <col min="24" max="24" width="29" customWidth="1"/>
    <col min="25" max="25" width="34" customWidth="1"/>
    <col min="26" max="26" width="64" customWidth="1"/>
  </cols>
  <sheetData>
    <row r="1" spans="1:26" ht="19" x14ac:dyDescent="0.25">
      <c r="A1" s="1" t="s">
        <v>97</v>
      </c>
    </row>
    <row r="2" spans="1:26" x14ac:dyDescent="0.2">
      <c r="A2" s="2" t="s">
        <v>1</v>
      </c>
    </row>
    <row r="3" spans="1:26" ht="24" customHeight="1" x14ac:dyDescent="0.2">
      <c r="A3" s="3" t="s">
        <v>2</v>
      </c>
      <c r="B3" s="3" t="s">
        <v>5</v>
      </c>
      <c r="C3" s="3" t="s">
        <v>7</v>
      </c>
      <c r="D3" s="3" t="s">
        <v>76</v>
      </c>
      <c r="E3" s="3" t="s">
        <v>77</v>
      </c>
      <c r="F3" s="3" t="s">
        <v>10</v>
      </c>
      <c r="G3" s="3" t="s">
        <v>11</v>
      </c>
      <c r="H3" s="3" t="s">
        <v>12</v>
      </c>
      <c r="I3" s="3" t="s">
        <v>13</v>
      </c>
      <c r="J3" s="3" t="s">
        <v>15</v>
      </c>
      <c r="K3" s="3" t="s">
        <v>16</v>
      </c>
      <c r="L3" s="3" t="s">
        <v>17</v>
      </c>
      <c r="M3" s="3" t="s">
        <v>78</v>
      </c>
      <c r="N3" s="3" t="s">
        <v>79</v>
      </c>
      <c r="O3" s="3" t="s">
        <v>80</v>
      </c>
      <c r="P3" s="3" t="s">
        <v>81</v>
      </c>
      <c r="Q3" s="3" t="s">
        <v>82</v>
      </c>
      <c r="R3" s="3" t="s">
        <v>83</v>
      </c>
      <c r="S3" s="3" t="s">
        <v>19</v>
      </c>
      <c r="T3" s="3" t="s">
        <v>20</v>
      </c>
      <c r="U3" s="3" t="s">
        <v>21</v>
      </c>
      <c r="V3" s="3" t="s">
        <v>84</v>
      </c>
      <c r="W3" s="3" t="s">
        <v>85</v>
      </c>
      <c r="X3" s="3" t="s">
        <v>23</v>
      </c>
      <c r="Y3" s="3" t="s">
        <v>24</v>
      </c>
      <c r="Z3" s="3" t="s">
        <v>25</v>
      </c>
    </row>
    <row r="4" spans="1:26" ht="20" customHeight="1" x14ac:dyDescent="0.2">
      <c r="A4" s="4" t="s">
        <v>98</v>
      </c>
      <c r="B4" s="5">
        <v>25</v>
      </c>
      <c r="C4" s="5">
        <v>6712</v>
      </c>
      <c r="D4" s="5">
        <v>17</v>
      </c>
      <c r="E4" s="6">
        <v>12.09</v>
      </c>
      <c r="F4" s="6">
        <v>6.74</v>
      </c>
      <c r="G4" s="6">
        <v>62.43</v>
      </c>
      <c r="H4" s="6">
        <v>2.91</v>
      </c>
      <c r="I4" s="6">
        <v>41.47</v>
      </c>
      <c r="J4" s="6">
        <v>4.6100000000000003</v>
      </c>
      <c r="K4" s="6">
        <v>6.01</v>
      </c>
      <c r="L4" s="6">
        <v>0.6</v>
      </c>
      <c r="M4" s="6">
        <v>0.16</v>
      </c>
      <c r="N4" s="6">
        <v>2.09</v>
      </c>
      <c r="O4" s="6">
        <v>34.619999999999997</v>
      </c>
      <c r="P4" s="6">
        <v>1.01</v>
      </c>
      <c r="Q4" s="6">
        <v>58.67</v>
      </c>
      <c r="R4" s="6">
        <v>1.98</v>
      </c>
      <c r="S4" s="6">
        <v>71.78</v>
      </c>
      <c r="T4" s="6">
        <v>22.86</v>
      </c>
      <c r="U4" s="6">
        <v>63.11</v>
      </c>
      <c r="V4" s="6">
        <v>10.06</v>
      </c>
      <c r="W4" s="6">
        <v>60.13</v>
      </c>
      <c r="X4" s="6">
        <v>13.73</v>
      </c>
      <c r="Y4" s="6">
        <v>72.069999999999993</v>
      </c>
      <c r="Z4" s="7">
        <f t="shared" ref="Z4:Z16" si="0">ROUND((G4*0.25)+(I4*0.2)+(S4*0.2)+(M4*10)+(R4*2), 2)</f>
        <v>43.82</v>
      </c>
    </row>
    <row r="5" spans="1:26" ht="20" customHeight="1" x14ac:dyDescent="0.2">
      <c r="A5" s="8" t="s">
        <v>36</v>
      </c>
      <c r="B5" s="9">
        <v>20</v>
      </c>
      <c r="C5" s="9">
        <v>5929</v>
      </c>
      <c r="D5" s="9">
        <v>1</v>
      </c>
      <c r="E5" s="10">
        <v>2.5299999999999998</v>
      </c>
      <c r="F5" s="10">
        <v>5.0199999999999996</v>
      </c>
      <c r="G5" s="10">
        <v>76.739999999999995</v>
      </c>
      <c r="H5" s="10">
        <v>4.6900000000000004</v>
      </c>
      <c r="I5" s="10">
        <v>67.64</v>
      </c>
      <c r="J5" s="10">
        <v>5.5</v>
      </c>
      <c r="K5" s="10">
        <v>6.69</v>
      </c>
      <c r="L5" s="10">
        <v>0.49</v>
      </c>
      <c r="M5" s="10">
        <v>0.04</v>
      </c>
      <c r="N5" s="10">
        <v>0.96</v>
      </c>
      <c r="O5" s="10">
        <v>33.33</v>
      </c>
      <c r="P5" s="10">
        <v>0.55000000000000004</v>
      </c>
      <c r="Q5" s="10">
        <v>61.11</v>
      </c>
      <c r="R5" s="10">
        <v>0.76</v>
      </c>
      <c r="S5" s="10">
        <v>71.8</v>
      </c>
      <c r="T5" s="10">
        <v>18.97</v>
      </c>
      <c r="U5" s="10">
        <v>59.12</v>
      </c>
      <c r="V5" s="10">
        <v>8.09</v>
      </c>
      <c r="W5" s="10">
        <v>48.41</v>
      </c>
      <c r="X5" s="10">
        <v>9.49</v>
      </c>
      <c r="Y5" s="10">
        <v>66.08</v>
      </c>
      <c r="Z5" s="11">
        <f t="shared" si="0"/>
        <v>48.99</v>
      </c>
    </row>
    <row r="6" spans="1:26" ht="20" customHeight="1" x14ac:dyDescent="0.2">
      <c r="A6" s="4" t="s">
        <v>99</v>
      </c>
      <c r="B6" s="5">
        <v>18</v>
      </c>
      <c r="C6" s="5">
        <v>4619</v>
      </c>
      <c r="D6" s="5">
        <v>0</v>
      </c>
      <c r="E6" s="6">
        <v>1.76</v>
      </c>
      <c r="F6" s="6">
        <v>6.59</v>
      </c>
      <c r="G6" s="6">
        <v>57.1</v>
      </c>
      <c r="H6" s="6">
        <v>7.05</v>
      </c>
      <c r="I6" s="6">
        <v>59.94</v>
      </c>
      <c r="J6" s="6">
        <v>5.12</v>
      </c>
      <c r="K6" s="6">
        <v>6.6</v>
      </c>
      <c r="L6" s="6">
        <v>1.1100000000000001</v>
      </c>
      <c r="M6" s="6">
        <v>0.03</v>
      </c>
      <c r="N6" s="6">
        <v>1.32</v>
      </c>
      <c r="O6" s="6">
        <v>33.82</v>
      </c>
      <c r="P6" s="6">
        <v>0.47</v>
      </c>
      <c r="Q6" s="6">
        <v>62.5</v>
      </c>
      <c r="R6" s="6">
        <v>0.43</v>
      </c>
      <c r="S6" s="6">
        <v>65.75</v>
      </c>
      <c r="T6" s="6">
        <v>15.26</v>
      </c>
      <c r="U6" s="6">
        <v>55.81</v>
      </c>
      <c r="V6" s="6">
        <v>5.86</v>
      </c>
      <c r="W6" s="6">
        <v>45.51</v>
      </c>
      <c r="X6" s="6">
        <v>7.77</v>
      </c>
      <c r="Y6" s="6">
        <v>58.15</v>
      </c>
      <c r="Z6" s="7">
        <f t="shared" si="0"/>
        <v>40.57</v>
      </c>
    </row>
    <row r="7" spans="1:26" ht="20" customHeight="1" x14ac:dyDescent="0.2">
      <c r="A7" s="8" t="s">
        <v>100</v>
      </c>
      <c r="B7" s="9">
        <v>22</v>
      </c>
      <c r="C7" s="9">
        <v>4606</v>
      </c>
      <c r="D7" s="9">
        <v>4</v>
      </c>
      <c r="E7" s="10">
        <v>2.37</v>
      </c>
      <c r="F7" s="10">
        <v>7.91</v>
      </c>
      <c r="G7" s="10">
        <v>62.22</v>
      </c>
      <c r="H7" s="10">
        <v>3.65</v>
      </c>
      <c r="I7" s="10">
        <v>52.41</v>
      </c>
      <c r="J7" s="10">
        <v>3.75</v>
      </c>
      <c r="K7" s="10">
        <v>4.51</v>
      </c>
      <c r="L7" s="10">
        <v>1.1100000000000001</v>
      </c>
      <c r="M7" s="10">
        <v>0.05</v>
      </c>
      <c r="N7" s="10">
        <v>0.56999999999999995</v>
      </c>
      <c r="O7" s="10">
        <v>24.14</v>
      </c>
      <c r="P7" s="10">
        <v>0.7</v>
      </c>
      <c r="Q7" s="10">
        <v>61.11</v>
      </c>
      <c r="R7" s="10">
        <v>0.56999999999999995</v>
      </c>
      <c r="S7" s="10">
        <v>72.08</v>
      </c>
      <c r="T7" s="10">
        <v>13.17</v>
      </c>
      <c r="U7" s="10">
        <v>61.28</v>
      </c>
      <c r="V7" s="10">
        <v>4.7699999999999996</v>
      </c>
      <c r="W7" s="10">
        <v>59.84</v>
      </c>
      <c r="X7" s="10">
        <v>7.23</v>
      </c>
      <c r="Y7" s="10">
        <v>60</v>
      </c>
      <c r="Z7" s="11">
        <f t="shared" si="0"/>
        <v>42.09</v>
      </c>
    </row>
    <row r="8" spans="1:26" ht="20" customHeight="1" x14ac:dyDescent="0.2">
      <c r="A8" s="4" t="s">
        <v>101</v>
      </c>
      <c r="B8" s="5">
        <v>29</v>
      </c>
      <c r="C8" s="5">
        <v>4391</v>
      </c>
      <c r="D8" s="5">
        <v>2</v>
      </c>
      <c r="E8" s="6">
        <v>1.39</v>
      </c>
      <c r="F8" s="6">
        <v>5.0599999999999996</v>
      </c>
      <c r="G8" s="6">
        <v>67.61</v>
      </c>
      <c r="H8" s="6">
        <v>6.52</v>
      </c>
      <c r="I8" s="6">
        <v>65.72</v>
      </c>
      <c r="J8" s="6">
        <v>5.66</v>
      </c>
      <c r="K8" s="6">
        <v>8.18</v>
      </c>
      <c r="L8" s="6">
        <v>0.84</v>
      </c>
      <c r="M8" s="6">
        <v>0.03</v>
      </c>
      <c r="N8" s="6">
        <v>0.96</v>
      </c>
      <c r="O8" s="6">
        <v>31.91</v>
      </c>
      <c r="P8" s="6">
        <v>0.55000000000000004</v>
      </c>
      <c r="Q8" s="6">
        <v>44.44</v>
      </c>
      <c r="R8" s="6">
        <v>0.53</v>
      </c>
      <c r="S8" s="6">
        <v>78.86</v>
      </c>
      <c r="T8" s="6">
        <v>20.76</v>
      </c>
      <c r="U8" s="6">
        <v>66.930000000000007</v>
      </c>
      <c r="V8" s="6">
        <v>7.73</v>
      </c>
      <c r="W8" s="6">
        <v>54.38</v>
      </c>
      <c r="X8" s="6">
        <v>8.81</v>
      </c>
      <c r="Y8" s="6">
        <v>65.349999999999994</v>
      </c>
      <c r="Z8" s="7">
        <f t="shared" si="0"/>
        <v>47.18</v>
      </c>
    </row>
    <row r="9" spans="1:26" ht="20" customHeight="1" x14ac:dyDescent="0.2">
      <c r="A9" s="8" t="s">
        <v>102</v>
      </c>
      <c r="B9" s="9">
        <v>19</v>
      </c>
      <c r="C9" s="9">
        <v>3891</v>
      </c>
      <c r="D9" s="9">
        <v>3</v>
      </c>
      <c r="E9" s="10">
        <v>3.01</v>
      </c>
      <c r="F9" s="10">
        <v>8.86</v>
      </c>
      <c r="G9" s="10">
        <v>64.23</v>
      </c>
      <c r="H9" s="10">
        <v>2.82</v>
      </c>
      <c r="I9" s="10">
        <v>40.159999999999997</v>
      </c>
      <c r="J9" s="10">
        <v>4.49</v>
      </c>
      <c r="K9" s="10">
        <v>6.45</v>
      </c>
      <c r="L9" s="10">
        <v>1.1100000000000001</v>
      </c>
      <c r="M9" s="10">
        <v>7.0000000000000007E-2</v>
      </c>
      <c r="N9" s="10">
        <v>1.48</v>
      </c>
      <c r="O9" s="10">
        <v>42.19</v>
      </c>
      <c r="P9" s="10">
        <v>2.08</v>
      </c>
      <c r="Q9" s="10">
        <v>54.44</v>
      </c>
      <c r="R9" s="10">
        <v>1.85</v>
      </c>
      <c r="S9" s="10">
        <v>78.59</v>
      </c>
      <c r="T9" s="10">
        <v>12.72</v>
      </c>
      <c r="U9" s="10">
        <v>65.819999999999993</v>
      </c>
      <c r="V9" s="10">
        <v>3.56</v>
      </c>
      <c r="W9" s="10">
        <v>62.99</v>
      </c>
      <c r="X9" s="10">
        <v>6.41</v>
      </c>
      <c r="Y9" s="10">
        <v>60.65</v>
      </c>
      <c r="Z9" s="11">
        <f t="shared" si="0"/>
        <v>44.21</v>
      </c>
    </row>
    <row r="10" spans="1:26" ht="20" customHeight="1" x14ac:dyDescent="0.2">
      <c r="A10" s="4" t="s">
        <v>103</v>
      </c>
      <c r="B10" s="5">
        <v>21</v>
      </c>
      <c r="C10" s="5">
        <v>3832</v>
      </c>
      <c r="D10" s="5">
        <v>2</v>
      </c>
      <c r="E10" s="6">
        <v>2.08</v>
      </c>
      <c r="F10" s="6">
        <v>8.5</v>
      </c>
      <c r="G10" s="6">
        <v>57.18</v>
      </c>
      <c r="H10" s="6">
        <v>4.93</v>
      </c>
      <c r="I10" s="6">
        <v>64.290000000000006</v>
      </c>
      <c r="J10" s="6">
        <v>6.36</v>
      </c>
      <c r="K10" s="6">
        <v>7.58</v>
      </c>
      <c r="L10" s="6">
        <v>1.01</v>
      </c>
      <c r="M10" s="6">
        <v>0.05</v>
      </c>
      <c r="N10" s="6">
        <v>1.34</v>
      </c>
      <c r="O10" s="6">
        <v>31.58</v>
      </c>
      <c r="P10" s="6">
        <v>0.61</v>
      </c>
      <c r="Q10" s="6">
        <v>53.85</v>
      </c>
      <c r="R10" s="6">
        <v>0.54</v>
      </c>
      <c r="S10" s="6">
        <v>68.11</v>
      </c>
      <c r="T10" s="6">
        <v>19.05</v>
      </c>
      <c r="U10" s="6">
        <v>54.13</v>
      </c>
      <c r="V10" s="6">
        <v>6.83</v>
      </c>
      <c r="W10" s="6">
        <v>46.39</v>
      </c>
      <c r="X10" s="6">
        <v>9.18</v>
      </c>
      <c r="Y10" s="6">
        <v>56.01</v>
      </c>
      <c r="Z10" s="7">
        <f t="shared" si="0"/>
        <v>42.36</v>
      </c>
    </row>
    <row r="11" spans="1:26" ht="20" customHeight="1" x14ac:dyDescent="0.2">
      <c r="A11" s="8" t="s">
        <v>104</v>
      </c>
      <c r="B11" s="9">
        <v>23</v>
      </c>
      <c r="C11" s="9">
        <v>3370</v>
      </c>
      <c r="D11" s="9">
        <v>2</v>
      </c>
      <c r="E11" s="10">
        <v>2</v>
      </c>
      <c r="F11" s="10">
        <v>10.09</v>
      </c>
      <c r="G11" s="10">
        <v>66.400000000000006</v>
      </c>
      <c r="H11" s="10">
        <v>3.39</v>
      </c>
      <c r="I11" s="10">
        <v>40.159999999999997</v>
      </c>
      <c r="J11" s="10">
        <v>4.83</v>
      </c>
      <c r="K11" s="10">
        <v>5.91</v>
      </c>
      <c r="L11" s="10">
        <v>0.83</v>
      </c>
      <c r="M11" s="10">
        <v>0.05</v>
      </c>
      <c r="N11" s="10">
        <v>2.67</v>
      </c>
      <c r="O11" s="10">
        <v>33</v>
      </c>
      <c r="P11" s="10">
        <v>1.23</v>
      </c>
      <c r="Q11" s="10">
        <v>58.7</v>
      </c>
      <c r="R11" s="10">
        <v>0.61</v>
      </c>
      <c r="S11" s="10">
        <v>60.72</v>
      </c>
      <c r="T11" s="10">
        <v>19.260000000000002</v>
      </c>
      <c r="U11" s="10">
        <v>53.68</v>
      </c>
      <c r="V11" s="10">
        <v>8.0399999999999991</v>
      </c>
      <c r="W11" s="10">
        <v>48.17</v>
      </c>
      <c r="X11" s="10">
        <v>10.9</v>
      </c>
      <c r="Y11" s="10">
        <v>61.03</v>
      </c>
      <c r="Z11" s="11">
        <f t="shared" si="0"/>
        <v>38.5</v>
      </c>
    </row>
    <row r="12" spans="1:26" ht="20" customHeight="1" x14ac:dyDescent="0.2">
      <c r="A12" s="4" t="s">
        <v>105</v>
      </c>
      <c r="B12" s="5">
        <v>18</v>
      </c>
      <c r="C12" s="5">
        <v>3025</v>
      </c>
      <c r="D12" s="5">
        <v>2</v>
      </c>
      <c r="E12" s="6">
        <v>2.48</v>
      </c>
      <c r="F12" s="6">
        <v>6.34</v>
      </c>
      <c r="G12" s="6">
        <v>63.38</v>
      </c>
      <c r="H12" s="6">
        <v>2.77</v>
      </c>
      <c r="I12" s="6">
        <v>55.91</v>
      </c>
      <c r="J12" s="6">
        <v>4.82</v>
      </c>
      <c r="K12" s="6">
        <v>7.01</v>
      </c>
      <c r="L12" s="6">
        <v>0.21</v>
      </c>
      <c r="M12" s="6">
        <v>7.0000000000000007E-2</v>
      </c>
      <c r="N12" s="6">
        <v>0.77</v>
      </c>
      <c r="O12" s="6">
        <v>26.92</v>
      </c>
      <c r="P12" s="6">
        <v>0.71</v>
      </c>
      <c r="Q12" s="6">
        <v>54.17</v>
      </c>
      <c r="R12" s="6">
        <v>1.52</v>
      </c>
      <c r="S12" s="6">
        <v>84.87</v>
      </c>
      <c r="T12" s="6">
        <v>19.87</v>
      </c>
      <c r="U12" s="6">
        <v>74.400000000000006</v>
      </c>
      <c r="V12" s="6">
        <v>5.71</v>
      </c>
      <c r="W12" s="6">
        <v>67.709999999999994</v>
      </c>
      <c r="X12" s="6">
        <v>8.75</v>
      </c>
      <c r="Y12" s="6">
        <v>64.290000000000006</v>
      </c>
      <c r="Z12" s="7">
        <f t="shared" si="0"/>
        <v>47.74</v>
      </c>
    </row>
    <row r="13" spans="1:26" ht="20" customHeight="1" x14ac:dyDescent="0.2">
      <c r="A13" s="8" t="s">
        <v>106</v>
      </c>
      <c r="B13" s="9">
        <v>22</v>
      </c>
      <c r="C13" s="9">
        <v>1874</v>
      </c>
      <c r="D13" s="9">
        <v>1</v>
      </c>
      <c r="E13" s="10">
        <v>2.5</v>
      </c>
      <c r="F13" s="10">
        <v>6.87</v>
      </c>
      <c r="G13" s="10">
        <v>67.13</v>
      </c>
      <c r="H13" s="10">
        <v>3.99</v>
      </c>
      <c r="I13" s="10">
        <v>56.63</v>
      </c>
      <c r="J13" s="10">
        <v>5.33</v>
      </c>
      <c r="K13" s="10">
        <v>7.67</v>
      </c>
      <c r="L13" s="10">
        <v>0.82</v>
      </c>
      <c r="M13" s="10">
        <v>0.12</v>
      </c>
      <c r="N13" s="10">
        <v>2.69</v>
      </c>
      <c r="O13" s="10">
        <v>32.14</v>
      </c>
      <c r="P13" s="10">
        <v>2.0699999999999998</v>
      </c>
      <c r="Q13" s="10">
        <v>46.51</v>
      </c>
      <c r="R13" s="10">
        <v>1.58</v>
      </c>
      <c r="S13" s="10">
        <v>71.52</v>
      </c>
      <c r="T13" s="10">
        <v>16.420000000000002</v>
      </c>
      <c r="U13" s="10">
        <v>58.77</v>
      </c>
      <c r="V13" s="10">
        <v>6.68</v>
      </c>
      <c r="W13" s="10">
        <v>52.52</v>
      </c>
      <c r="X13" s="10">
        <v>8.36</v>
      </c>
      <c r="Y13" s="10">
        <v>70.11</v>
      </c>
      <c r="Z13" s="11">
        <f t="shared" si="0"/>
        <v>46.77</v>
      </c>
    </row>
    <row r="14" spans="1:26" ht="20" customHeight="1" x14ac:dyDescent="0.2">
      <c r="A14" s="4" t="s">
        <v>107</v>
      </c>
      <c r="B14" s="5">
        <v>20</v>
      </c>
      <c r="C14" s="5">
        <v>1741</v>
      </c>
      <c r="D14" s="5">
        <v>1</v>
      </c>
      <c r="E14" s="6">
        <v>1.28</v>
      </c>
      <c r="F14" s="6">
        <v>6.67</v>
      </c>
      <c r="G14" s="6">
        <v>57.36</v>
      </c>
      <c r="H14" s="6">
        <v>6.41</v>
      </c>
      <c r="I14" s="6">
        <v>70.16</v>
      </c>
      <c r="J14" s="6">
        <v>6.26</v>
      </c>
      <c r="K14" s="6">
        <v>8.75</v>
      </c>
      <c r="L14" s="6">
        <v>0.72</v>
      </c>
      <c r="M14" s="6">
        <v>7.0000000000000007E-2</v>
      </c>
      <c r="N14" s="6">
        <v>1.24</v>
      </c>
      <c r="O14" s="6">
        <v>41.67</v>
      </c>
      <c r="P14" s="6">
        <v>0.88</v>
      </c>
      <c r="Q14" s="6">
        <v>29.41</v>
      </c>
      <c r="R14" s="6">
        <v>0.56999999999999995</v>
      </c>
      <c r="S14" s="6">
        <v>71.989999999999995</v>
      </c>
      <c r="T14" s="6">
        <v>14.58</v>
      </c>
      <c r="U14" s="6">
        <v>62.06</v>
      </c>
      <c r="V14" s="6">
        <v>6.05</v>
      </c>
      <c r="W14" s="6">
        <v>52.14</v>
      </c>
      <c r="X14" s="6">
        <v>8.84</v>
      </c>
      <c r="Y14" s="6">
        <v>68.42</v>
      </c>
      <c r="Z14" s="7">
        <f t="shared" si="0"/>
        <v>44.61</v>
      </c>
    </row>
    <row r="15" spans="1:26" ht="20" customHeight="1" x14ac:dyDescent="0.2">
      <c r="A15" s="8" t="s">
        <v>108</v>
      </c>
      <c r="B15" s="9">
        <v>20</v>
      </c>
      <c r="C15" s="9">
        <v>987</v>
      </c>
      <c r="D15" s="9">
        <v>3</v>
      </c>
      <c r="E15" s="10">
        <v>1.36</v>
      </c>
      <c r="F15" s="10">
        <v>7.48</v>
      </c>
      <c r="G15" s="10">
        <v>59.76</v>
      </c>
      <c r="H15" s="10">
        <v>4.1900000000000004</v>
      </c>
      <c r="I15" s="10">
        <v>45.65</v>
      </c>
      <c r="J15" s="10">
        <v>4.01</v>
      </c>
      <c r="K15" s="10">
        <v>4.7</v>
      </c>
      <c r="L15" s="10">
        <v>0.91</v>
      </c>
      <c r="M15" s="10">
        <v>0.12</v>
      </c>
      <c r="N15" s="10">
        <v>2.74</v>
      </c>
      <c r="O15" s="10">
        <v>26.67</v>
      </c>
      <c r="P15" s="10">
        <v>1.28</v>
      </c>
      <c r="Q15" s="10">
        <v>50</v>
      </c>
      <c r="R15" s="10">
        <v>0.82</v>
      </c>
      <c r="S15" s="10">
        <v>56.99</v>
      </c>
      <c r="T15" s="10">
        <v>11.95</v>
      </c>
      <c r="U15" s="10">
        <v>45.8</v>
      </c>
      <c r="V15" s="10">
        <v>4.1900000000000004</v>
      </c>
      <c r="W15" s="10">
        <v>43.48</v>
      </c>
      <c r="X15" s="10">
        <v>7.57</v>
      </c>
      <c r="Y15" s="10">
        <v>50.6</v>
      </c>
      <c r="Z15" s="11">
        <f t="shared" si="0"/>
        <v>38.31</v>
      </c>
    </row>
    <row r="16" spans="1:26" ht="20" customHeight="1" x14ac:dyDescent="0.2">
      <c r="A16" s="4" t="s">
        <v>109</v>
      </c>
      <c r="B16" s="5">
        <v>26</v>
      </c>
      <c r="C16" s="5">
        <v>870</v>
      </c>
      <c r="D16" s="5">
        <v>1</v>
      </c>
      <c r="E16" s="6">
        <v>0.68</v>
      </c>
      <c r="F16" s="6">
        <v>7.86</v>
      </c>
      <c r="G16" s="6">
        <v>51.32</v>
      </c>
      <c r="H16" s="6">
        <v>2.79</v>
      </c>
      <c r="I16" s="6">
        <v>25.93</v>
      </c>
      <c r="J16" s="6">
        <v>5.07</v>
      </c>
      <c r="K16" s="6">
        <v>6.28</v>
      </c>
      <c r="L16" s="6">
        <v>1.03</v>
      </c>
      <c r="M16" s="6">
        <v>7.0000000000000007E-2</v>
      </c>
      <c r="N16" s="6">
        <v>2.48</v>
      </c>
      <c r="O16" s="6">
        <v>41.67</v>
      </c>
      <c r="P16" s="6">
        <v>1.97</v>
      </c>
      <c r="Q16" s="6">
        <v>68.42</v>
      </c>
      <c r="R16" s="6">
        <v>1.66</v>
      </c>
      <c r="S16" s="6">
        <v>75.14</v>
      </c>
      <c r="T16" s="6">
        <v>14.69</v>
      </c>
      <c r="U16" s="6">
        <v>61.97</v>
      </c>
      <c r="V16" s="6">
        <v>4.45</v>
      </c>
      <c r="W16" s="6">
        <v>67.44</v>
      </c>
      <c r="X16" s="6">
        <v>8.2799999999999994</v>
      </c>
      <c r="Y16" s="6">
        <v>63.75</v>
      </c>
      <c r="Z16" s="7">
        <f t="shared" si="0"/>
        <v>37.06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24"/>
  <sheetViews>
    <sheetView tabSelected="1" topLeftCell="AB2" workbookViewId="0">
      <selection activeCell="AF25" sqref="AF25"/>
    </sheetView>
  </sheetViews>
  <sheetFormatPr baseColWidth="10" defaultColWidth="8.83203125" defaultRowHeight="15" x14ac:dyDescent="0.2"/>
  <cols>
    <col min="1" max="1" width="115" customWidth="1"/>
    <col min="2" max="2" width="18" customWidth="1"/>
    <col min="3" max="3" width="21" customWidth="1"/>
    <col min="4" max="4" width="12" customWidth="1"/>
    <col min="5" max="5" width="18" customWidth="1"/>
    <col min="6" max="8" width="12" customWidth="1"/>
    <col min="9" max="10" width="26" customWidth="1"/>
    <col min="11" max="12" width="23" customWidth="1"/>
    <col min="13" max="13" width="24" customWidth="1"/>
    <col min="14" max="14" width="22" customWidth="1"/>
    <col min="15" max="15" width="16" customWidth="1"/>
    <col min="16" max="16" width="28" customWidth="1"/>
    <col min="17" max="17" width="18" customWidth="1"/>
    <col min="18" max="18" width="13" customWidth="1"/>
    <col min="19" max="20" width="26" customWidth="1"/>
    <col min="21" max="21" width="27" customWidth="1"/>
    <col min="22" max="22" width="26" customWidth="1"/>
    <col min="23" max="23" width="25" customWidth="1"/>
    <col min="24" max="24" width="17" customWidth="1"/>
    <col min="25" max="25" width="22" customWidth="1"/>
    <col min="26" max="26" width="25" customWidth="1"/>
    <col min="27" max="27" width="30" customWidth="1"/>
    <col min="28" max="28" width="32" customWidth="1"/>
    <col min="29" max="29" width="37" customWidth="1"/>
    <col min="30" max="30" width="29" customWidth="1"/>
    <col min="31" max="31" width="34" customWidth="1"/>
    <col min="32" max="32" width="64" customWidth="1"/>
  </cols>
  <sheetData>
    <row r="1" spans="1:32" ht="19" x14ac:dyDescent="0.25">
      <c r="A1" s="1" t="s">
        <v>110</v>
      </c>
    </row>
    <row r="2" spans="1:32" x14ac:dyDescent="0.2">
      <c r="A2" s="2" t="s">
        <v>1</v>
      </c>
    </row>
    <row r="3" spans="1:32" ht="24" customHeight="1" x14ac:dyDescent="0.2">
      <c r="A3" s="3" t="s">
        <v>2</v>
      </c>
      <c r="B3" s="3" t="s">
        <v>3</v>
      </c>
      <c r="C3" s="3" t="s">
        <v>4</v>
      </c>
      <c r="D3" s="3" t="s">
        <v>5</v>
      </c>
      <c r="E3" s="3" t="s">
        <v>7</v>
      </c>
      <c r="F3" s="3" t="s">
        <v>111</v>
      </c>
      <c r="G3" s="3" t="s">
        <v>76</v>
      </c>
      <c r="H3" s="3" t="s">
        <v>77</v>
      </c>
      <c r="I3" s="3" t="s">
        <v>10</v>
      </c>
      <c r="J3" s="3" t="s">
        <v>11</v>
      </c>
      <c r="K3" s="3" t="s">
        <v>12</v>
      </c>
      <c r="L3" s="3" t="s">
        <v>13</v>
      </c>
      <c r="M3" s="3" t="s">
        <v>15</v>
      </c>
      <c r="N3" s="3" t="s">
        <v>16</v>
      </c>
      <c r="O3" s="3" t="s">
        <v>17</v>
      </c>
      <c r="P3" s="3" t="s">
        <v>112</v>
      </c>
      <c r="Q3" s="3" t="s">
        <v>113</v>
      </c>
      <c r="R3" s="3" t="s">
        <v>78</v>
      </c>
      <c r="S3" s="3" t="s">
        <v>82</v>
      </c>
      <c r="T3" s="3" t="s">
        <v>114</v>
      </c>
      <c r="U3" s="3" t="s">
        <v>83</v>
      </c>
      <c r="V3" s="3" t="s">
        <v>115</v>
      </c>
      <c r="W3" s="3" t="s">
        <v>116</v>
      </c>
      <c r="X3" s="3" t="s">
        <v>117</v>
      </c>
      <c r="Y3" s="3" t="s">
        <v>19</v>
      </c>
      <c r="Z3" s="3" t="s">
        <v>20</v>
      </c>
      <c r="AA3" s="3" t="s">
        <v>21</v>
      </c>
      <c r="AB3" s="3" t="s">
        <v>84</v>
      </c>
      <c r="AC3" s="3" t="s">
        <v>85</v>
      </c>
      <c r="AD3" s="3" t="s">
        <v>23</v>
      </c>
      <c r="AE3" s="3" t="s">
        <v>24</v>
      </c>
      <c r="AF3" s="3" t="s">
        <v>25</v>
      </c>
    </row>
    <row r="4" spans="1:32" ht="20" customHeight="1" x14ac:dyDescent="0.2">
      <c r="A4" s="4" t="s">
        <v>118</v>
      </c>
      <c r="B4" s="4" t="s">
        <v>119</v>
      </c>
      <c r="C4" s="4" t="s">
        <v>120</v>
      </c>
      <c r="D4" s="5">
        <v>23</v>
      </c>
      <c r="E4" s="5">
        <v>6715</v>
      </c>
      <c r="F4" s="5">
        <v>4</v>
      </c>
      <c r="G4" s="5">
        <v>3</v>
      </c>
      <c r="H4" s="6">
        <v>3.53</v>
      </c>
      <c r="I4" s="6">
        <v>5.39</v>
      </c>
      <c r="J4" s="6">
        <v>62.69</v>
      </c>
      <c r="K4" s="6">
        <v>2.9</v>
      </c>
      <c r="L4" s="6">
        <v>50</v>
      </c>
      <c r="M4" s="6">
        <v>3.71</v>
      </c>
      <c r="N4" s="6">
        <v>5.76</v>
      </c>
      <c r="O4" s="6">
        <v>0.72</v>
      </c>
      <c r="P4" s="6">
        <v>0.05</v>
      </c>
      <c r="Q4" s="6">
        <v>0.04</v>
      </c>
      <c r="R4" s="6">
        <v>0.05</v>
      </c>
      <c r="S4" s="6">
        <v>64.37</v>
      </c>
      <c r="T4" s="6">
        <v>43.7</v>
      </c>
      <c r="U4" s="6">
        <v>1.25</v>
      </c>
      <c r="V4" s="6">
        <v>32.9</v>
      </c>
      <c r="W4" s="6">
        <v>0.67</v>
      </c>
      <c r="X4" s="6">
        <v>45.45</v>
      </c>
      <c r="Y4" s="6">
        <v>81.98</v>
      </c>
      <c r="Z4" s="6">
        <v>17.72</v>
      </c>
      <c r="AA4" s="6">
        <v>71.099999999999994</v>
      </c>
      <c r="AB4" s="6">
        <v>7.52</v>
      </c>
      <c r="AC4" s="6">
        <v>70.05</v>
      </c>
      <c r="AD4" s="6">
        <v>9.93</v>
      </c>
      <c r="AE4" s="6">
        <v>73.819999999999993</v>
      </c>
      <c r="AF4" s="7">
        <f t="shared" ref="AF4:AF23" si="0">ROUND((J4*0.25)+(Y4*0.25)+(R4*10)+(AD4*1.5)+(F4*3), 2)</f>
        <v>63.56</v>
      </c>
    </row>
    <row r="5" spans="1:32" ht="20" customHeight="1" x14ac:dyDescent="0.2">
      <c r="A5" s="8" t="s">
        <v>121</v>
      </c>
      <c r="B5" s="8" t="s">
        <v>31</v>
      </c>
      <c r="C5" s="8" t="s">
        <v>122</v>
      </c>
      <c r="D5" s="9">
        <v>24</v>
      </c>
      <c r="E5" s="9">
        <v>5885</v>
      </c>
      <c r="F5" s="9">
        <v>5</v>
      </c>
      <c r="G5" s="9">
        <v>5</v>
      </c>
      <c r="H5" s="10">
        <v>4.58</v>
      </c>
      <c r="I5" s="10">
        <v>8.3699999999999992</v>
      </c>
      <c r="J5" s="10">
        <v>60.69</v>
      </c>
      <c r="K5" s="10">
        <v>4.05</v>
      </c>
      <c r="L5" s="10">
        <v>49.06</v>
      </c>
      <c r="M5" s="10">
        <v>4.74</v>
      </c>
      <c r="N5" s="10">
        <v>6.77</v>
      </c>
      <c r="O5" s="10">
        <v>1.91</v>
      </c>
      <c r="P5" s="10">
        <v>0.08</v>
      </c>
      <c r="Q5" s="10">
        <v>0.08</v>
      </c>
      <c r="R5" s="10">
        <v>7.0000000000000007E-2</v>
      </c>
      <c r="S5" s="10">
        <v>54.32</v>
      </c>
      <c r="T5" s="10">
        <v>35.01</v>
      </c>
      <c r="U5" s="10">
        <v>1.19</v>
      </c>
      <c r="V5" s="10">
        <v>31.03</v>
      </c>
      <c r="W5" s="10">
        <v>0.56999999999999995</v>
      </c>
      <c r="X5" s="10">
        <v>47.9</v>
      </c>
      <c r="Y5" s="10">
        <v>81.900000000000006</v>
      </c>
      <c r="Z5" s="10">
        <v>16.350000000000001</v>
      </c>
      <c r="AA5" s="10">
        <v>64.92</v>
      </c>
      <c r="AB5" s="10">
        <v>7.13</v>
      </c>
      <c r="AC5" s="10">
        <v>63.73</v>
      </c>
      <c r="AD5" s="10">
        <v>7.89</v>
      </c>
      <c r="AE5" s="10">
        <v>67.05</v>
      </c>
      <c r="AF5" s="11">
        <f t="shared" si="0"/>
        <v>63.18</v>
      </c>
    </row>
    <row r="6" spans="1:32" ht="20" customHeight="1" x14ac:dyDescent="0.2">
      <c r="A6" s="4" t="s">
        <v>123</v>
      </c>
      <c r="B6" s="4" t="s">
        <v>124</v>
      </c>
      <c r="C6" s="4" t="s">
        <v>125</v>
      </c>
      <c r="D6" s="5">
        <v>19</v>
      </c>
      <c r="E6" s="5">
        <v>4704</v>
      </c>
      <c r="F6" s="5">
        <v>3</v>
      </c>
      <c r="G6" s="5">
        <v>4</v>
      </c>
      <c r="H6" s="6">
        <v>4.33</v>
      </c>
      <c r="I6" s="6">
        <v>6.03</v>
      </c>
      <c r="J6" s="6">
        <v>62.22</v>
      </c>
      <c r="K6" s="6">
        <v>2.68</v>
      </c>
      <c r="L6" s="6">
        <v>44.29</v>
      </c>
      <c r="M6" s="6">
        <v>3.27</v>
      </c>
      <c r="N6" s="6">
        <v>4.2300000000000004</v>
      </c>
      <c r="O6" s="6">
        <v>0.82</v>
      </c>
      <c r="P6" s="6">
        <v>0.06</v>
      </c>
      <c r="Q6" s="6">
        <v>0.08</v>
      </c>
      <c r="R6" s="6">
        <v>0.08</v>
      </c>
      <c r="S6" s="6">
        <v>53.61</v>
      </c>
      <c r="T6" s="6">
        <v>38.659999999999997</v>
      </c>
      <c r="U6" s="6">
        <v>1.63</v>
      </c>
      <c r="V6" s="6">
        <v>27.99</v>
      </c>
      <c r="W6" s="6">
        <v>1.38</v>
      </c>
      <c r="X6" s="6">
        <v>46.55</v>
      </c>
      <c r="Y6" s="6">
        <v>83.93</v>
      </c>
      <c r="Z6" s="6">
        <v>14.16</v>
      </c>
      <c r="AA6" s="6">
        <v>66.760000000000005</v>
      </c>
      <c r="AB6" s="6">
        <v>6.52</v>
      </c>
      <c r="AC6" s="6">
        <v>63.05</v>
      </c>
      <c r="AD6" s="6">
        <v>6.37</v>
      </c>
      <c r="AE6" s="6">
        <v>75.08</v>
      </c>
      <c r="AF6" s="7">
        <f t="shared" si="0"/>
        <v>55.89</v>
      </c>
    </row>
    <row r="7" spans="1:32" ht="20" customHeight="1" x14ac:dyDescent="0.2">
      <c r="A7" s="8" t="s">
        <v>126</v>
      </c>
      <c r="B7" s="8" t="s">
        <v>27</v>
      </c>
      <c r="C7" s="8" t="s">
        <v>127</v>
      </c>
      <c r="D7" s="9">
        <v>24</v>
      </c>
      <c r="E7" s="9">
        <v>4696</v>
      </c>
      <c r="F7" s="9">
        <v>2</v>
      </c>
      <c r="G7" s="9">
        <v>3</v>
      </c>
      <c r="H7" s="10">
        <v>2.02</v>
      </c>
      <c r="I7" s="10">
        <v>8.32</v>
      </c>
      <c r="J7" s="10">
        <v>65.44</v>
      </c>
      <c r="K7" s="10">
        <v>4.3099999999999996</v>
      </c>
      <c r="L7" s="10">
        <v>62.22</v>
      </c>
      <c r="M7" s="10">
        <v>4.01</v>
      </c>
      <c r="N7" s="10">
        <v>4.8</v>
      </c>
      <c r="O7" s="10">
        <v>1.05</v>
      </c>
      <c r="P7" s="10">
        <v>0.04</v>
      </c>
      <c r="Q7" s="10">
        <v>0.06</v>
      </c>
      <c r="R7" s="10">
        <v>0.04</v>
      </c>
      <c r="S7" s="10">
        <v>50.98</v>
      </c>
      <c r="T7" s="10">
        <v>43.08</v>
      </c>
      <c r="U7" s="10">
        <v>0.88</v>
      </c>
      <c r="V7" s="10">
        <v>16.329999999999998</v>
      </c>
      <c r="W7" s="10">
        <v>0.54</v>
      </c>
      <c r="X7" s="10">
        <v>29.65</v>
      </c>
      <c r="Y7" s="10">
        <v>73.56</v>
      </c>
      <c r="Z7" s="10">
        <v>12.97</v>
      </c>
      <c r="AA7" s="10">
        <v>60.12</v>
      </c>
      <c r="AB7" s="10">
        <v>5.27</v>
      </c>
      <c r="AC7" s="10">
        <v>54.91</v>
      </c>
      <c r="AD7" s="10">
        <v>5.92</v>
      </c>
      <c r="AE7" s="10">
        <v>57.61</v>
      </c>
      <c r="AF7" s="11">
        <f t="shared" si="0"/>
        <v>50.03</v>
      </c>
    </row>
    <row r="8" spans="1:32" ht="20" customHeight="1" x14ac:dyDescent="0.2">
      <c r="A8" s="4" t="s">
        <v>128</v>
      </c>
      <c r="B8" s="4" t="s">
        <v>27</v>
      </c>
      <c r="C8" s="4" t="s">
        <v>129</v>
      </c>
      <c r="D8" s="5">
        <v>27</v>
      </c>
      <c r="E8" s="5">
        <v>4545</v>
      </c>
      <c r="F8" s="5">
        <v>6</v>
      </c>
      <c r="G8" s="5">
        <v>1</v>
      </c>
      <c r="H8" s="6">
        <v>1.31</v>
      </c>
      <c r="I8" s="6">
        <v>6.36</v>
      </c>
      <c r="J8" s="6">
        <v>62.31</v>
      </c>
      <c r="K8" s="6">
        <v>6.4</v>
      </c>
      <c r="L8" s="6">
        <v>49.54</v>
      </c>
      <c r="M8" s="6">
        <v>4.32</v>
      </c>
      <c r="N8" s="6">
        <v>5.15</v>
      </c>
      <c r="O8" s="6">
        <v>1.21</v>
      </c>
      <c r="P8" s="6">
        <v>0.12</v>
      </c>
      <c r="Q8" s="6">
        <v>0.02</v>
      </c>
      <c r="R8" s="6">
        <v>0.03</v>
      </c>
      <c r="S8" s="6">
        <v>54.55</v>
      </c>
      <c r="T8" s="6">
        <v>39.229999999999997</v>
      </c>
      <c r="U8" s="6">
        <v>0.55000000000000004</v>
      </c>
      <c r="V8" s="6">
        <v>17.43</v>
      </c>
      <c r="W8" s="6">
        <v>0.69</v>
      </c>
      <c r="X8" s="6">
        <v>31.39</v>
      </c>
      <c r="Y8" s="6">
        <v>70.540000000000006</v>
      </c>
      <c r="Z8" s="6">
        <v>14.02</v>
      </c>
      <c r="AA8" s="6">
        <v>57.34</v>
      </c>
      <c r="AB8" s="6">
        <v>7.19</v>
      </c>
      <c r="AC8" s="6">
        <v>53.17</v>
      </c>
      <c r="AD8" s="6">
        <v>6.53</v>
      </c>
      <c r="AE8" s="6">
        <v>70.91</v>
      </c>
      <c r="AF8" s="7">
        <f t="shared" si="0"/>
        <v>61.31</v>
      </c>
    </row>
    <row r="9" spans="1:32" ht="20" customHeight="1" x14ac:dyDescent="0.2">
      <c r="A9" s="8" t="s">
        <v>130</v>
      </c>
      <c r="B9" s="8" t="s">
        <v>57</v>
      </c>
      <c r="C9" s="8" t="s">
        <v>131</v>
      </c>
      <c r="D9" s="9">
        <v>24</v>
      </c>
      <c r="E9" s="9">
        <v>4464</v>
      </c>
      <c r="F9" s="9">
        <v>7</v>
      </c>
      <c r="G9" s="9">
        <v>5</v>
      </c>
      <c r="H9" s="10">
        <v>2.89</v>
      </c>
      <c r="I9" s="10">
        <v>5.28</v>
      </c>
      <c r="J9" s="10">
        <v>51.91</v>
      </c>
      <c r="K9" s="10">
        <v>3.57</v>
      </c>
      <c r="L9" s="10">
        <v>39.549999999999997</v>
      </c>
      <c r="M9" s="10">
        <v>2.72</v>
      </c>
      <c r="N9" s="10">
        <v>3.84</v>
      </c>
      <c r="O9" s="10">
        <v>0.87</v>
      </c>
      <c r="P9" s="10">
        <v>0.12</v>
      </c>
      <c r="Q9" s="10">
        <v>0.1</v>
      </c>
      <c r="R9" s="10">
        <v>0.06</v>
      </c>
      <c r="S9" s="10">
        <v>43.42</v>
      </c>
      <c r="T9" s="10">
        <v>36.450000000000003</v>
      </c>
      <c r="U9" s="10">
        <v>1.25</v>
      </c>
      <c r="V9" s="10">
        <v>24.54</v>
      </c>
      <c r="W9" s="10">
        <v>1.37</v>
      </c>
      <c r="X9" s="10">
        <v>35.770000000000003</v>
      </c>
      <c r="Y9" s="10">
        <v>76.78</v>
      </c>
      <c r="Z9" s="10">
        <v>12.7</v>
      </c>
      <c r="AA9" s="10">
        <v>65.56</v>
      </c>
      <c r="AB9" s="10">
        <v>5.95</v>
      </c>
      <c r="AC9" s="10">
        <v>67.12</v>
      </c>
      <c r="AD9" s="10">
        <v>6.05</v>
      </c>
      <c r="AE9" s="10">
        <v>76</v>
      </c>
      <c r="AF9" s="11">
        <f t="shared" si="0"/>
        <v>62.85</v>
      </c>
    </row>
    <row r="10" spans="1:32" ht="20" customHeight="1" x14ac:dyDescent="0.2">
      <c r="A10" s="4" t="s">
        <v>132</v>
      </c>
      <c r="B10" s="4" t="s">
        <v>62</v>
      </c>
      <c r="C10" s="4" t="s">
        <v>133</v>
      </c>
      <c r="D10" s="5">
        <v>19</v>
      </c>
      <c r="E10" s="5">
        <v>4269</v>
      </c>
      <c r="F10" s="5">
        <v>6</v>
      </c>
      <c r="G10" s="5">
        <v>11</v>
      </c>
      <c r="H10" s="6">
        <v>7.36</v>
      </c>
      <c r="I10" s="6">
        <v>6.32</v>
      </c>
      <c r="J10" s="6">
        <v>63</v>
      </c>
      <c r="K10" s="6">
        <v>2.04</v>
      </c>
      <c r="L10" s="6">
        <v>37.11</v>
      </c>
      <c r="M10" s="6">
        <v>3.16</v>
      </c>
      <c r="N10" s="6">
        <v>4.3</v>
      </c>
      <c r="O10" s="6">
        <v>1.1200000000000001</v>
      </c>
      <c r="P10" s="6">
        <v>0.13</v>
      </c>
      <c r="Q10" s="6">
        <v>0.23</v>
      </c>
      <c r="R10" s="6">
        <v>0.16</v>
      </c>
      <c r="S10" s="6">
        <v>49.23</v>
      </c>
      <c r="T10" s="6">
        <v>33.79</v>
      </c>
      <c r="U10" s="6">
        <v>1.75</v>
      </c>
      <c r="V10" s="6">
        <v>25.28</v>
      </c>
      <c r="W10" s="6">
        <v>0.65</v>
      </c>
      <c r="X10" s="6">
        <v>38.659999999999997</v>
      </c>
      <c r="Y10" s="6">
        <v>79.39</v>
      </c>
      <c r="Z10" s="6">
        <v>12.46</v>
      </c>
      <c r="AA10" s="6">
        <v>63.62</v>
      </c>
      <c r="AB10" s="6">
        <v>4.55</v>
      </c>
      <c r="AC10" s="6">
        <v>61.11</v>
      </c>
      <c r="AD10" s="6">
        <v>6.6</v>
      </c>
      <c r="AE10" s="6">
        <v>64.86</v>
      </c>
      <c r="AF10" s="7">
        <f t="shared" si="0"/>
        <v>65.099999999999994</v>
      </c>
    </row>
    <row r="11" spans="1:32" ht="20" customHeight="1" x14ac:dyDescent="0.2">
      <c r="A11" s="8" t="s">
        <v>134</v>
      </c>
      <c r="B11" s="8" t="s">
        <v>57</v>
      </c>
      <c r="C11" s="8" t="s">
        <v>135</v>
      </c>
      <c r="D11" s="9">
        <v>26</v>
      </c>
      <c r="E11" s="9">
        <v>4202</v>
      </c>
      <c r="F11" s="9">
        <v>9</v>
      </c>
      <c r="G11" s="9">
        <v>11</v>
      </c>
      <c r="H11" s="10">
        <v>8.51</v>
      </c>
      <c r="I11" s="10">
        <v>5.53</v>
      </c>
      <c r="J11" s="10">
        <v>61.24</v>
      </c>
      <c r="K11" s="10">
        <v>2.76</v>
      </c>
      <c r="L11" s="10">
        <v>37.21</v>
      </c>
      <c r="M11" s="10">
        <v>2.4</v>
      </c>
      <c r="N11" s="10">
        <v>3.44</v>
      </c>
      <c r="O11" s="10">
        <v>0.88</v>
      </c>
      <c r="P11" s="10">
        <v>0.15</v>
      </c>
      <c r="Q11" s="10">
        <v>0.24</v>
      </c>
      <c r="R11" s="10">
        <v>0.18</v>
      </c>
      <c r="S11" s="10">
        <v>40.380000000000003</v>
      </c>
      <c r="T11" s="10">
        <v>31.93</v>
      </c>
      <c r="U11" s="10">
        <v>0.84</v>
      </c>
      <c r="V11" s="10">
        <v>23.26</v>
      </c>
      <c r="W11" s="10">
        <v>0.9</v>
      </c>
      <c r="X11" s="10">
        <v>37.18</v>
      </c>
      <c r="Y11" s="10">
        <v>79.72</v>
      </c>
      <c r="Z11" s="10">
        <v>12.27</v>
      </c>
      <c r="AA11" s="10">
        <v>63.53</v>
      </c>
      <c r="AB11" s="10">
        <v>5.53</v>
      </c>
      <c r="AC11" s="10">
        <v>62.4</v>
      </c>
      <c r="AD11" s="10">
        <v>6.36</v>
      </c>
      <c r="AE11" s="10">
        <v>76.09</v>
      </c>
      <c r="AF11" s="11">
        <f t="shared" si="0"/>
        <v>73.58</v>
      </c>
    </row>
    <row r="12" spans="1:32" ht="20" customHeight="1" x14ac:dyDescent="0.2">
      <c r="A12" s="4" t="s">
        <v>136</v>
      </c>
      <c r="B12" s="4" t="s">
        <v>37</v>
      </c>
      <c r="C12" s="4" t="s">
        <v>137</v>
      </c>
      <c r="D12" s="5">
        <v>22</v>
      </c>
      <c r="E12" s="5">
        <v>4057</v>
      </c>
      <c r="F12" s="5">
        <v>0</v>
      </c>
      <c r="G12" s="5">
        <v>2</v>
      </c>
      <c r="H12" s="6">
        <v>1.87</v>
      </c>
      <c r="I12" s="6">
        <v>8.36</v>
      </c>
      <c r="J12" s="6">
        <v>64.989999999999995</v>
      </c>
      <c r="K12" s="6">
        <v>2.77</v>
      </c>
      <c r="L12" s="6">
        <v>46.4</v>
      </c>
      <c r="M12" s="6">
        <v>3.64</v>
      </c>
      <c r="N12" s="6">
        <v>4.5199999999999996</v>
      </c>
      <c r="O12" s="6">
        <v>1.24</v>
      </c>
      <c r="P12" s="6">
        <v>0</v>
      </c>
      <c r="Q12" s="6">
        <v>0.04</v>
      </c>
      <c r="R12" s="6">
        <v>0.04</v>
      </c>
      <c r="S12" s="6">
        <v>54.17</v>
      </c>
      <c r="T12" s="6">
        <v>41.71</v>
      </c>
      <c r="U12" s="6">
        <v>0.55000000000000004</v>
      </c>
      <c r="V12" s="6">
        <v>25.44</v>
      </c>
      <c r="W12" s="6">
        <v>0.93</v>
      </c>
      <c r="X12" s="6">
        <v>44.17</v>
      </c>
      <c r="Y12" s="6">
        <v>81.42</v>
      </c>
      <c r="Z12" s="6">
        <v>15.22</v>
      </c>
      <c r="AA12" s="6">
        <v>67.64</v>
      </c>
      <c r="AB12" s="6">
        <v>7.48</v>
      </c>
      <c r="AC12" s="6">
        <v>61.72</v>
      </c>
      <c r="AD12" s="6">
        <v>7.08</v>
      </c>
      <c r="AE12" s="6">
        <v>72.099999999999994</v>
      </c>
      <c r="AF12" s="7">
        <f t="shared" si="0"/>
        <v>47.62</v>
      </c>
    </row>
    <row r="13" spans="1:32" ht="20" customHeight="1" x14ac:dyDescent="0.2">
      <c r="A13" s="8" t="s">
        <v>138</v>
      </c>
      <c r="B13" s="8" t="s">
        <v>124</v>
      </c>
      <c r="C13" s="8" t="s">
        <v>139</v>
      </c>
      <c r="D13" s="9">
        <v>24</v>
      </c>
      <c r="E13" s="9">
        <v>4056</v>
      </c>
      <c r="F13" s="9">
        <v>5</v>
      </c>
      <c r="G13" s="9">
        <v>2</v>
      </c>
      <c r="H13" s="10">
        <v>2.77</v>
      </c>
      <c r="I13" s="10">
        <v>5.39</v>
      </c>
      <c r="J13" s="10">
        <v>62.55</v>
      </c>
      <c r="K13" s="10">
        <v>2.5099999999999998</v>
      </c>
      <c r="L13" s="10">
        <v>50.44</v>
      </c>
      <c r="M13" s="10">
        <v>3.75</v>
      </c>
      <c r="N13" s="10">
        <v>5.45</v>
      </c>
      <c r="O13" s="10">
        <v>0.89</v>
      </c>
      <c r="P13" s="10">
        <v>0.11</v>
      </c>
      <c r="Q13" s="10">
        <v>0.04</v>
      </c>
      <c r="R13" s="10">
        <v>0.06</v>
      </c>
      <c r="S13" s="10">
        <v>66.67</v>
      </c>
      <c r="T13" s="10">
        <v>50.31</v>
      </c>
      <c r="U13" s="10">
        <v>0.71</v>
      </c>
      <c r="V13" s="10">
        <v>31.51</v>
      </c>
      <c r="W13" s="10">
        <v>1.1299999999999999</v>
      </c>
      <c r="X13" s="10">
        <v>48.44</v>
      </c>
      <c r="Y13" s="10">
        <v>77.55</v>
      </c>
      <c r="Z13" s="10">
        <v>20.7</v>
      </c>
      <c r="AA13" s="10">
        <v>64.739999999999995</v>
      </c>
      <c r="AB13" s="10">
        <v>11.36</v>
      </c>
      <c r="AC13" s="10">
        <v>63.28</v>
      </c>
      <c r="AD13" s="10">
        <v>10.23</v>
      </c>
      <c r="AE13" s="10">
        <v>74.84</v>
      </c>
      <c r="AF13" s="11">
        <f t="shared" si="0"/>
        <v>65.97</v>
      </c>
    </row>
    <row r="14" spans="1:32" ht="20" customHeight="1" x14ac:dyDescent="0.2">
      <c r="A14" s="4" t="s">
        <v>140</v>
      </c>
      <c r="B14" s="4" t="s">
        <v>31</v>
      </c>
      <c r="C14" s="4" t="s">
        <v>141</v>
      </c>
      <c r="D14" s="5">
        <v>25</v>
      </c>
      <c r="E14" s="5">
        <v>3966</v>
      </c>
      <c r="F14" s="5">
        <v>4</v>
      </c>
      <c r="G14" s="5">
        <v>0</v>
      </c>
      <c r="H14" s="6">
        <v>4.04</v>
      </c>
      <c r="I14" s="6">
        <v>6.99</v>
      </c>
      <c r="J14" s="6">
        <v>67.53</v>
      </c>
      <c r="K14" s="6">
        <v>2.5</v>
      </c>
      <c r="L14" s="6">
        <v>34.549999999999997</v>
      </c>
      <c r="M14" s="6">
        <v>3</v>
      </c>
      <c r="N14" s="6">
        <v>4.3899999999999997</v>
      </c>
      <c r="O14" s="6">
        <v>1.1100000000000001</v>
      </c>
      <c r="P14" s="6">
        <v>0.09</v>
      </c>
      <c r="Q14" s="6">
        <v>0</v>
      </c>
      <c r="R14" s="6">
        <v>0.09</v>
      </c>
      <c r="S14" s="6">
        <v>53.13</v>
      </c>
      <c r="T14" s="6">
        <v>35.99</v>
      </c>
      <c r="U14" s="6">
        <v>2.2000000000000002</v>
      </c>
      <c r="V14" s="6">
        <v>41.12</v>
      </c>
      <c r="W14" s="6">
        <v>1.34</v>
      </c>
      <c r="X14" s="6">
        <v>57.5</v>
      </c>
      <c r="Y14" s="6">
        <v>86.35</v>
      </c>
      <c r="Z14" s="6">
        <v>15.14</v>
      </c>
      <c r="AA14" s="6">
        <v>69.72</v>
      </c>
      <c r="AB14" s="6">
        <v>7.69</v>
      </c>
      <c r="AC14" s="6">
        <v>70.5</v>
      </c>
      <c r="AD14" s="6">
        <v>7.22</v>
      </c>
      <c r="AE14" s="6">
        <v>74.209999999999994</v>
      </c>
      <c r="AF14" s="7">
        <f t="shared" si="0"/>
        <v>62.2</v>
      </c>
    </row>
    <row r="15" spans="1:32" ht="20" customHeight="1" x14ac:dyDescent="0.2">
      <c r="A15" s="8" t="s">
        <v>142</v>
      </c>
      <c r="B15" s="8" t="s">
        <v>65</v>
      </c>
      <c r="C15" s="8" t="s">
        <v>143</v>
      </c>
      <c r="D15" s="9">
        <v>24</v>
      </c>
      <c r="E15" s="9">
        <v>3929</v>
      </c>
      <c r="F15" s="9">
        <v>5</v>
      </c>
      <c r="G15" s="9">
        <v>3</v>
      </c>
      <c r="H15" s="10">
        <v>4.7300000000000004</v>
      </c>
      <c r="I15" s="10">
        <v>5.22</v>
      </c>
      <c r="J15" s="10">
        <v>62.72</v>
      </c>
      <c r="K15" s="10">
        <v>3.05</v>
      </c>
      <c r="L15" s="10">
        <v>48.87</v>
      </c>
      <c r="M15" s="10">
        <v>4.3099999999999996</v>
      </c>
      <c r="N15" s="10">
        <v>7.08</v>
      </c>
      <c r="O15" s="10">
        <v>0.78</v>
      </c>
      <c r="P15" s="10">
        <v>0.11</v>
      </c>
      <c r="Q15" s="10">
        <v>7.0000000000000007E-2</v>
      </c>
      <c r="R15" s="10">
        <v>0.11</v>
      </c>
      <c r="S15" s="10">
        <v>59.09</v>
      </c>
      <c r="T15" s="10">
        <v>43.26</v>
      </c>
      <c r="U15" s="10">
        <v>1.37</v>
      </c>
      <c r="V15" s="10">
        <v>25.54</v>
      </c>
      <c r="W15" s="10">
        <v>0.8</v>
      </c>
      <c r="X15" s="10">
        <v>40.71</v>
      </c>
      <c r="Y15" s="10">
        <v>79.349999999999994</v>
      </c>
      <c r="Z15" s="10">
        <v>14.32</v>
      </c>
      <c r="AA15" s="10">
        <v>61.28</v>
      </c>
      <c r="AB15" s="10">
        <v>7.33</v>
      </c>
      <c r="AC15" s="10">
        <v>64.06</v>
      </c>
      <c r="AD15" s="10">
        <v>7.19</v>
      </c>
      <c r="AE15" s="10">
        <v>75.48</v>
      </c>
      <c r="AF15" s="11">
        <f t="shared" si="0"/>
        <v>62.4</v>
      </c>
    </row>
    <row r="16" spans="1:32" ht="20" customHeight="1" x14ac:dyDescent="0.2">
      <c r="A16" s="4" t="s">
        <v>144</v>
      </c>
      <c r="B16" s="4" t="s">
        <v>119</v>
      </c>
      <c r="C16" s="4" t="s">
        <v>145</v>
      </c>
      <c r="D16" s="5">
        <v>22</v>
      </c>
      <c r="E16" s="5">
        <v>3773</v>
      </c>
      <c r="F16" s="5">
        <v>12</v>
      </c>
      <c r="G16" s="5">
        <v>6</v>
      </c>
      <c r="H16" s="6">
        <v>6.99</v>
      </c>
      <c r="I16" s="6">
        <v>4.87</v>
      </c>
      <c r="J16" s="6">
        <v>57.84</v>
      </c>
      <c r="K16" s="6">
        <v>2.12</v>
      </c>
      <c r="L16" s="6">
        <v>40.450000000000003</v>
      </c>
      <c r="M16" s="6">
        <v>2.86</v>
      </c>
      <c r="N16" s="6">
        <v>4.33</v>
      </c>
      <c r="O16" s="6">
        <v>1.1200000000000001</v>
      </c>
      <c r="P16" s="6">
        <v>0.26</v>
      </c>
      <c r="Q16" s="6">
        <v>0.14000000000000001</v>
      </c>
      <c r="R16" s="6">
        <v>0.17</v>
      </c>
      <c r="S16" s="6">
        <v>61.54</v>
      </c>
      <c r="T16" s="6">
        <v>38.04</v>
      </c>
      <c r="U16" s="6">
        <v>1.91</v>
      </c>
      <c r="V16" s="6">
        <v>37.520000000000003</v>
      </c>
      <c r="W16" s="6">
        <v>0.81</v>
      </c>
      <c r="X16" s="6">
        <v>52.48</v>
      </c>
      <c r="Y16" s="6">
        <v>82.23</v>
      </c>
      <c r="Z16" s="6">
        <v>13.38</v>
      </c>
      <c r="AA16" s="6">
        <v>66.31</v>
      </c>
      <c r="AB16" s="6">
        <v>6.87</v>
      </c>
      <c r="AC16" s="6">
        <v>70.83</v>
      </c>
      <c r="AD16" s="6">
        <v>7.18</v>
      </c>
      <c r="AE16" s="6">
        <v>66.45</v>
      </c>
      <c r="AF16" s="7">
        <f t="shared" si="0"/>
        <v>83.49</v>
      </c>
    </row>
    <row r="17" spans="1:32" ht="20" customHeight="1" x14ac:dyDescent="0.2">
      <c r="A17" s="8" t="s">
        <v>146</v>
      </c>
      <c r="B17" s="8" t="s">
        <v>124</v>
      </c>
      <c r="C17" s="8" t="s">
        <v>141</v>
      </c>
      <c r="D17" s="9">
        <v>20</v>
      </c>
      <c r="E17" s="9">
        <v>3728</v>
      </c>
      <c r="F17" s="9">
        <v>2</v>
      </c>
      <c r="G17" s="9">
        <v>0</v>
      </c>
      <c r="H17" s="10">
        <v>0.71</v>
      </c>
      <c r="I17" s="10">
        <v>7.8</v>
      </c>
      <c r="J17" s="10">
        <v>68.73</v>
      </c>
      <c r="K17" s="10">
        <v>3.19</v>
      </c>
      <c r="L17" s="10">
        <v>45.45</v>
      </c>
      <c r="M17" s="10">
        <v>3.84</v>
      </c>
      <c r="N17" s="10">
        <v>4.92</v>
      </c>
      <c r="O17" s="10">
        <v>0.84</v>
      </c>
      <c r="P17" s="10">
        <v>0.05</v>
      </c>
      <c r="Q17" s="10">
        <v>0</v>
      </c>
      <c r="R17" s="10">
        <v>0.02</v>
      </c>
      <c r="S17" s="10">
        <v>61.9</v>
      </c>
      <c r="T17" s="10">
        <v>44.32</v>
      </c>
      <c r="U17" s="10">
        <v>0.46</v>
      </c>
      <c r="V17" s="10">
        <v>28.9</v>
      </c>
      <c r="W17" s="10">
        <v>1.5</v>
      </c>
      <c r="X17" s="10">
        <v>44.54</v>
      </c>
      <c r="Y17" s="10">
        <v>89</v>
      </c>
      <c r="Z17" s="10">
        <v>13.06</v>
      </c>
      <c r="AA17" s="10">
        <v>78.19</v>
      </c>
      <c r="AB17" s="10">
        <v>5.41</v>
      </c>
      <c r="AC17" s="10">
        <v>81.25</v>
      </c>
      <c r="AD17" s="10">
        <v>6.33</v>
      </c>
      <c r="AE17" s="10">
        <v>71.37</v>
      </c>
      <c r="AF17" s="11">
        <f t="shared" si="0"/>
        <v>55.13</v>
      </c>
    </row>
    <row r="18" spans="1:32" ht="20" customHeight="1" x14ac:dyDescent="0.2">
      <c r="A18" s="4" t="s">
        <v>147</v>
      </c>
      <c r="B18" s="4" t="s">
        <v>37</v>
      </c>
      <c r="C18" s="4" t="s">
        <v>148</v>
      </c>
      <c r="D18" s="5">
        <v>23</v>
      </c>
      <c r="E18" s="5">
        <v>3698</v>
      </c>
      <c r="F18" s="5">
        <v>1</v>
      </c>
      <c r="G18" s="5">
        <v>1</v>
      </c>
      <c r="H18" s="6">
        <v>1.19</v>
      </c>
      <c r="I18" s="6">
        <v>9.98</v>
      </c>
      <c r="J18" s="6">
        <v>60</v>
      </c>
      <c r="K18" s="6">
        <v>3.09</v>
      </c>
      <c r="L18" s="6">
        <v>51.97</v>
      </c>
      <c r="M18" s="6">
        <v>5.99</v>
      </c>
      <c r="N18" s="6">
        <v>7.02</v>
      </c>
      <c r="O18" s="6">
        <v>1.68</v>
      </c>
      <c r="P18" s="6">
        <v>0.02</v>
      </c>
      <c r="Q18" s="6">
        <v>0.02</v>
      </c>
      <c r="R18" s="6">
        <v>0.03</v>
      </c>
      <c r="S18" s="6">
        <v>33.33</v>
      </c>
      <c r="T18" s="6">
        <v>71.430000000000007</v>
      </c>
      <c r="U18" s="6">
        <v>0.46</v>
      </c>
      <c r="V18" s="6">
        <v>18.760000000000002</v>
      </c>
      <c r="W18" s="6">
        <v>2.75</v>
      </c>
      <c r="X18" s="6">
        <v>37.630000000000003</v>
      </c>
      <c r="Y18" s="6">
        <v>69.150000000000006</v>
      </c>
      <c r="Z18" s="6">
        <v>17.45</v>
      </c>
      <c r="AA18" s="6">
        <v>55.79</v>
      </c>
      <c r="AB18" s="6">
        <v>9.4700000000000006</v>
      </c>
      <c r="AC18" s="6">
        <v>52.7</v>
      </c>
      <c r="AD18" s="6">
        <v>9</v>
      </c>
      <c r="AE18" s="6">
        <v>65.95</v>
      </c>
      <c r="AF18" s="7">
        <f t="shared" si="0"/>
        <v>49.09</v>
      </c>
    </row>
    <row r="19" spans="1:32" ht="20" customHeight="1" x14ac:dyDescent="0.2">
      <c r="A19" s="8" t="s">
        <v>149</v>
      </c>
      <c r="B19" s="8" t="s">
        <v>31</v>
      </c>
      <c r="C19" s="8" t="s">
        <v>150</v>
      </c>
      <c r="D19" s="9">
        <v>24</v>
      </c>
      <c r="E19" s="9">
        <v>3502</v>
      </c>
      <c r="F19" s="9">
        <v>3</v>
      </c>
      <c r="G19" s="9">
        <v>4</v>
      </c>
      <c r="H19" s="10">
        <v>4.26</v>
      </c>
      <c r="I19" s="10">
        <v>6.35</v>
      </c>
      <c r="J19" s="10">
        <v>63.97</v>
      </c>
      <c r="K19" s="10">
        <v>2.52</v>
      </c>
      <c r="L19" s="10">
        <v>27.55</v>
      </c>
      <c r="M19" s="10">
        <v>3.37</v>
      </c>
      <c r="N19" s="10">
        <v>4.49</v>
      </c>
      <c r="O19" s="10">
        <v>1.44</v>
      </c>
      <c r="P19" s="10">
        <v>0.08</v>
      </c>
      <c r="Q19" s="10">
        <v>0.1</v>
      </c>
      <c r="R19" s="10">
        <v>0.11</v>
      </c>
      <c r="S19" s="10">
        <v>55.17</v>
      </c>
      <c r="T19" s="10">
        <v>32.18</v>
      </c>
      <c r="U19" s="10">
        <v>0.33</v>
      </c>
      <c r="V19" s="10">
        <v>25.8</v>
      </c>
      <c r="W19" s="10">
        <v>0.75</v>
      </c>
      <c r="X19" s="10">
        <v>40.119999999999997</v>
      </c>
      <c r="Y19" s="10">
        <v>81.290000000000006</v>
      </c>
      <c r="Z19" s="10">
        <v>12.77</v>
      </c>
      <c r="AA19" s="10">
        <v>63.58</v>
      </c>
      <c r="AB19" s="10">
        <v>6.53</v>
      </c>
      <c r="AC19" s="10">
        <v>64.569999999999993</v>
      </c>
      <c r="AD19" s="10">
        <v>6.5</v>
      </c>
      <c r="AE19" s="10">
        <v>69.959999999999994</v>
      </c>
      <c r="AF19" s="11">
        <f t="shared" si="0"/>
        <v>56.17</v>
      </c>
    </row>
    <row r="20" spans="1:32" ht="20" customHeight="1" x14ac:dyDescent="0.2">
      <c r="A20" s="4" t="s">
        <v>151</v>
      </c>
      <c r="B20" s="4" t="s">
        <v>62</v>
      </c>
      <c r="C20" s="4" t="s">
        <v>152</v>
      </c>
      <c r="D20" s="5">
        <v>19</v>
      </c>
      <c r="E20" s="5">
        <v>3388</v>
      </c>
      <c r="F20" s="5">
        <v>0</v>
      </c>
      <c r="G20" s="5">
        <v>1</v>
      </c>
      <c r="H20" s="6">
        <v>0.96</v>
      </c>
      <c r="I20" s="6">
        <v>7.17</v>
      </c>
      <c r="J20" s="6">
        <v>72.959999999999994</v>
      </c>
      <c r="K20" s="6">
        <v>3</v>
      </c>
      <c r="L20" s="6">
        <v>45.13</v>
      </c>
      <c r="M20" s="6">
        <v>6.22</v>
      </c>
      <c r="N20" s="6">
        <v>7.21</v>
      </c>
      <c r="O20" s="6">
        <v>0.72</v>
      </c>
      <c r="P20" s="6">
        <v>0</v>
      </c>
      <c r="Q20" s="6">
        <v>0.03</v>
      </c>
      <c r="R20" s="6">
        <v>0.03</v>
      </c>
      <c r="S20" s="6">
        <v>82.35</v>
      </c>
      <c r="T20" s="6">
        <v>51.09</v>
      </c>
      <c r="U20" s="6">
        <v>0.53</v>
      </c>
      <c r="V20" s="6">
        <v>18.14</v>
      </c>
      <c r="W20" s="6">
        <v>1.41</v>
      </c>
      <c r="X20" s="6">
        <v>35.520000000000003</v>
      </c>
      <c r="Y20" s="6">
        <v>81.819999999999993</v>
      </c>
      <c r="Z20" s="6">
        <v>12.33</v>
      </c>
      <c r="AA20" s="6">
        <v>66.81</v>
      </c>
      <c r="AB20" s="6">
        <v>4.9400000000000004</v>
      </c>
      <c r="AC20" s="6">
        <v>68.819999999999993</v>
      </c>
      <c r="AD20" s="6">
        <v>5.53</v>
      </c>
      <c r="AE20" s="6">
        <v>55.29</v>
      </c>
      <c r="AF20" s="7">
        <f t="shared" si="0"/>
        <v>47.29</v>
      </c>
    </row>
    <row r="21" spans="1:32" ht="20" customHeight="1" x14ac:dyDescent="0.2">
      <c r="A21" s="8" t="s">
        <v>153</v>
      </c>
      <c r="B21" s="8" t="s">
        <v>62</v>
      </c>
      <c r="C21" s="8" t="s">
        <v>125</v>
      </c>
      <c r="D21" s="9">
        <v>26</v>
      </c>
      <c r="E21" s="9">
        <v>2829</v>
      </c>
      <c r="F21" s="9">
        <v>1</v>
      </c>
      <c r="G21" s="9">
        <v>2</v>
      </c>
      <c r="H21" s="10">
        <v>1.41</v>
      </c>
      <c r="I21" s="10">
        <v>6.55</v>
      </c>
      <c r="J21" s="10">
        <v>56.8</v>
      </c>
      <c r="K21" s="10">
        <v>4.04</v>
      </c>
      <c r="L21" s="10">
        <v>56.69</v>
      </c>
      <c r="M21" s="10">
        <v>4.07</v>
      </c>
      <c r="N21" s="10">
        <v>4.9400000000000004</v>
      </c>
      <c r="O21" s="10">
        <v>1.37</v>
      </c>
      <c r="P21" s="10">
        <v>0.03</v>
      </c>
      <c r="Q21" s="10">
        <v>0.06</v>
      </c>
      <c r="R21" s="10">
        <v>0.04</v>
      </c>
      <c r="S21" s="10">
        <v>60.87</v>
      </c>
      <c r="T21" s="10">
        <v>47.06</v>
      </c>
      <c r="U21" s="10">
        <v>0.45</v>
      </c>
      <c r="V21" s="10">
        <v>22.11</v>
      </c>
      <c r="W21" s="10">
        <v>0.92</v>
      </c>
      <c r="X21" s="10">
        <v>40.21</v>
      </c>
      <c r="Y21" s="10">
        <v>74.45</v>
      </c>
      <c r="Z21" s="10">
        <v>16.64</v>
      </c>
      <c r="AA21" s="10">
        <v>62.14</v>
      </c>
      <c r="AB21" s="10">
        <v>8.6199999999999992</v>
      </c>
      <c r="AC21" s="10">
        <v>57.2</v>
      </c>
      <c r="AD21" s="10">
        <v>8.18</v>
      </c>
      <c r="AE21" s="10">
        <v>66.930000000000007</v>
      </c>
      <c r="AF21" s="11">
        <f t="shared" si="0"/>
        <v>48.48</v>
      </c>
    </row>
    <row r="22" spans="1:32" ht="20" customHeight="1" x14ac:dyDescent="0.2">
      <c r="A22" s="4" t="s">
        <v>98</v>
      </c>
      <c r="B22" s="4" t="s">
        <v>37</v>
      </c>
      <c r="C22" s="4" t="s">
        <v>154</v>
      </c>
      <c r="D22" s="5">
        <v>22</v>
      </c>
      <c r="E22" s="5">
        <v>2720</v>
      </c>
      <c r="F22" s="5">
        <v>0</v>
      </c>
      <c r="G22" s="5">
        <v>1</v>
      </c>
      <c r="H22" s="6">
        <v>2.17</v>
      </c>
      <c r="I22" s="6">
        <v>7.71</v>
      </c>
      <c r="J22" s="6">
        <v>56.22</v>
      </c>
      <c r="K22" s="6">
        <v>1.92</v>
      </c>
      <c r="L22" s="6">
        <v>29.31</v>
      </c>
      <c r="M22" s="6">
        <v>3.84</v>
      </c>
      <c r="N22" s="6">
        <v>4.6500000000000004</v>
      </c>
      <c r="O22" s="6">
        <v>1.0900000000000001</v>
      </c>
      <c r="P22" s="6">
        <v>0</v>
      </c>
      <c r="Q22" s="6">
        <v>0.03</v>
      </c>
      <c r="R22" s="6">
        <v>7.0000000000000007E-2</v>
      </c>
      <c r="S22" s="6">
        <v>64.86</v>
      </c>
      <c r="T22" s="6">
        <v>40.11</v>
      </c>
      <c r="U22" s="6">
        <v>0.69</v>
      </c>
      <c r="V22" s="6">
        <v>22.1</v>
      </c>
      <c r="W22" s="6">
        <v>0.83</v>
      </c>
      <c r="X22" s="6">
        <v>36</v>
      </c>
      <c r="Y22" s="6">
        <v>81.34</v>
      </c>
      <c r="Z22" s="6">
        <v>10.49</v>
      </c>
      <c r="AA22" s="6">
        <v>64.040000000000006</v>
      </c>
      <c r="AB22" s="6">
        <v>4.5</v>
      </c>
      <c r="AC22" s="6">
        <v>69.12</v>
      </c>
      <c r="AD22" s="6">
        <v>5.33</v>
      </c>
      <c r="AE22" s="6">
        <v>65.22</v>
      </c>
      <c r="AF22" s="7">
        <f t="shared" si="0"/>
        <v>43.09</v>
      </c>
    </row>
    <row r="23" spans="1:32" ht="20" customHeight="1" x14ac:dyDescent="0.2">
      <c r="A23" s="8" t="s">
        <v>155</v>
      </c>
      <c r="B23" s="8" t="s">
        <v>45</v>
      </c>
      <c r="C23" s="8" t="s">
        <v>156</v>
      </c>
      <c r="D23" s="9">
        <v>18</v>
      </c>
      <c r="E23" s="9">
        <v>1863</v>
      </c>
      <c r="F23" s="9">
        <v>4</v>
      </c>
      <c r="G23" s="9">
        <v>0</v>
      </c>
      <c r="H23" s="10">
        <v>0</v>
      </c>
      <c r="I23" s="10">
        <v>6.96</v>
      </c>
      <c r="J23" s="10">
        <v>50</v>
      </c>
      <c r="K23" s="10">
        <v>3.04</v>
      </c>
      <c r="L23" s="10">
        <v>53.97</v>
      </c>
      <c r="M23" s="10">
        <v>3.09</v>
      </c>
      <c r="N23" s="10">
        <v>4.3499999999999996</v>
      </c>
      <c r="O23" s="10">
        <v>1.74</v>
      </c>
      <c r="P23" s="10">
        <v>0.19</v>
      </c>
      <c r="Q23" s="10">
        <v>0</v>
      </c>
      <c r="R23" s="10">
        <v>0</v>
      </c>
      <c r="S23" s="10">
        <v>63.64</v>
      </c>
      <c r="T23" s="10">
        <v>58.93</v>
      </c>
      <c r="U23" s="10">
        <v>0.24</v>
      </c>
      <c r="V23" s="10">
        <v>24.59</v>
      </c>
      <c r="W23" s="10">
        <v>0.82</v>
      </c>
      <c r="X23" s="10">
        <v>37.729999999999997</v>
      </c>
      <c r="Y23" s="10">
        <v>84.89</v>
      </c>
      <c r="Z23" s="10">
        <v>10.77</v>
      </c>
      <c r="AA23" s="10">
        <v>66.37</v>
      </c>
      <c r="AB23" s="10">
        <v>3.77</v>
      </c>
      <c r="AC23" s="10">
        <v>67.95</v>
      </c>
      <c r="AD23" s="10">
        <v>4.59</v>
      </c>
      <c r="AE23" s="10">
        <v>51.58</v>
      </c>
      <c r="AF23" s="11">
        <f>ROUND((J23*0.25)+(Y23*0.25)+(R23*10)+(AD23*1.5)+(F23*3), 2)</f>
        <v>52.61</v>
      </c>
    </row>
    <row r="24" spans="1:32" x14ac:dyDescent="0.2">
      <c r="A24" s="12" t="s">
        <v>251</v>
      </c>
      <c r="B24" s="12" t="s">
        <v>55</v>
      </c>
      <c r="C24" s="12" t="s">
        <v>252</v>
      </c>
      <c r="D24" s="12">
        <v>25</v>
      </c>
      <c r="E24" s="12">
        <v>4445</v>
      </c>
      <c r="F24" s="12">
        <v>0</v>
      </c>
      <c r="G24" s="12">
        <v>3</v>
      </c>
      <c r="H24" s="12">
        <v>3.35</v>
      </c>
      <c r="I24" s="12">
        <v>6.97</v>
      </c>
      <c r="J24" s="12">
        <v>57.85</v>
      </c>
      <c r="K24" s="12">
        <v>2.63</v>
      </c>
      <c r="L24" s="12">
        <v>51.54</v>
      </c>
      <c r="M24" s="12">
        <v>4.37</v>
      </c>
      <c r="N24" s="12">
        <v>6.63</v>
      </c>
      <c r="O24" s="12">
        <v>1.38</v>
      </c>
      <c r="P24" s="12">
        <v>0</v>
      </c>
      <c r="Q24" s="12">
        <v>0.06</v>
      </c>
      <c r="R24" s="12">
        <v>7.0000000000000007E-2</v>
      </c>
      <c r="S24" s="12">
        <v>62.22</v>
      </c>
      <c r="T24" s="12">
        <v>40.4</v>
      </c>
      <c r="U24" s="12">
        <v>0.56999999999999995</v>
      </c>
      <c r="V24" s="12">
        <v>24.88</v>
      </c>
      <c r="W24" s="12">
        <v>0.73</v>
      </c>
      <c r="X24" s="12">
        <v>42.7</v>
      </c>
      <c r="Y24" s="12">
        <v>79.33</v>
      </c>
      <c r="Z24" s="12">
        <v>16.04</v>
      </c>
      <c r="AA24" s="12">
        <v>63.26</v>
      </c>
      <c r="AB24" s="12">
        <v>9.64</v>
      </c>
      <c r="AC24" s="12">
        <v>65.55</v>
      </c>
      <c r="AD24" s="12">
        <v>8.7100000000000009</v>
      </c>
      <c r="AE24" s="12">
        <v>73.489999999999995</v>
      </c>
      <c r="AF24" s="12">
        <f>ROUND((J24*0.25)+(Y24*0.25)+(R24*10)+(AD24*1.5)+(F24*3), 2)</f>
        <v>48.06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26"/>
  <sheetViews>
    <sheetView workbookViewId="0"/>
  </sheetViews>
  <sheetFormatPr baseColWidth="10" defaultColWidth="8.83203125" defaultRowHeight="15" x14ac:dyDescent="0.2"/>
  <cols>
    <col min="1" max="1" width="115" customWidth="1"/>
    <col min="2" max="2" width="18" customWidth="1"/>
    <col min="3" max="3" width="19" customWidth="1"/>
    <col min="4" max="4" width="12" customWidth="1"/>
    <col min="5" max="5" width="18" customWidth="1"/>
    <col min="6" max="9" width="12" customWidth="1"/>
    <col min="10" max="10" width="26" customWidth="1"/>
    <col min="11" max="11" width="28" customWidth="1"/>
    <col min="12" max="12" width="13" customWidth="1"/>
    <col min="13" max="13" width="16" customWidth="1"/>
    <col min="14" max="14" width="22" customWidth="1"/>
    <col min="15" max="15" width="13" customWidth="1"/>
    <col min="16" max="16" width="18" customWidth="1"/>
    <col min="17" max="17" width="23" customWidth="1"/>
    <col min="18" max="18" width="19" customWidth="1"/>
    <col min="19" max="19" width="26" customWidth="1"/>
    <col min="20" max="20" width="25" customWidth="1"/>
    <col min="21" max="21" width="27" customWidth="1"/>
    <col min="22" max="22" width="25" customWidth="1"/>
    <col min="23" max="23" width="32" customWidth="1"/>
    <col min="24" max="24" width="37" customWidth="1"/>
    <col min="25" max="25" width="27" customWidth="1"/>
    <col min="26" max="26" width="34" customWidth="1"/>
    <col min="27" max="27" width="62" customWidth="1"/>
  </cols>
  <sheetData>
    <row r="1" spans="1:27" ht="19" x14ac:dyDescent="0.25">
      <c r="A1" s="1" t="s">
        <v>157</v>
      </c>
    </row>
    <row r="2" spans="1:27" x14ac:dyDescent="0.2">
      <c r="A2" s="2" t="s">
        <v>1</v>
      </c>
    </row>
    <row r="3" spans="1:27" ht="24" customHeight="1" x14ac:dyDescent="0.2">
      <c r="A3" s="3" t="s">
        <v>2</v>
      </c>
      <c r="B3" s="3" t="s">
        <v>3</v>
      </c>
      <c r="C3" s="3" t="s">
        <v>4</v>
      </c>
      <c r="D3" s="3" t="s">
        <v>5</v>
      </c>
      <c r="E3" s="3" t="s">
        <v>7</v>
      </c>
      <c r="F3" s="3" t="s">
        <v>111</v>
      </c>
      <c r="G3" s="3" t="s">
        <v>158</v>
      </c>
      <c r="H3" s="3" t="s">
        <v>76</v>
      </c>
      <c r="I3" s="3" t="s">
        <v>77</v>
      </c>
      <c r="J3" s="3" t="s">
        <v>11</v>
      </c>
      <c r="K3" s="3" t="s">
        <v>112</v>
      </c>
      <c r="L3" s="3" t="s">
        <v>159</v>
      </c>
      <c r="M3" s="3" t="s">
        <v>160</v>
      </c>
      <c r="N3" s="3" t="s">
        <v>161</v>
      </c>
      <c r="O3" s="3" t="s">
        <v>78</v>
      </c>
      <c r="P3" s="3" t="s">
        <v>79</v>
      </c>
      <c r="Q3" s="3" t="s">
        <v>80</v>
      </c>
      <c r="R3" s="3" t="s">
        <v>81</v>
      </c>
      <c r="S3" s="3" t="s">
        <v>82</v>
      </c>
      <c r="T3" s="3" t="s">
        <v>162</v>
      </c>
      <c r="U3" s="3" t="s">
        <v>83</v>
      </c>
      <c r="V3" s="3" t="s">
        <v>116</v>
      </c>
      <c r="W3" s="3" t="s">
        <v>84</v>
      </c>
      <c r="X3" s="3" t="s">
        <v>85</v>
      </c>
      <c r="Y3" s="3" t="s">
        <v>163</v>
      </c>
      <c r="Z3" s="3" t="s">
        <v>24</v>
      </c>
      <c r="AA3" s="3" t="s">
        <v>25</v>
      </c>
    </row>
    <row r="4" spans="1:27" ht="20" customHeight="1" x14ac:dyDescent="0.2">
      <c r="A4" s="4" t="s">
        <v>164</v>
      </c>
      <c r="B4" s="4" t="s">
        <v>124</v>
      </c>
      <c r="C4" s="4" t="s">
        <v>165</v>
      </c>
      <c r="D4" s="6">
        <v>30</v>
      </c>
      <c r="E4" s="5">
        <v>6163</v>
      </c>
      <c r="F4" s="5">
        <v>33</v>
      </c>
      <c r="G4" s="6">
        <v>32.57</v>
      </c>
      <c r="H4" s="5">
        <v>2</v>
      </c>
      <c r="I4" s="6">
        <v>6.15</v>
      </c>
      <c r="J4" s="6">
        <v>59.67</v>
      </c>
      <c r="K4" s="6">
        <v>0.38</v>
      </c>
      <c r="L4" s="6">
        <v>0.48</v>
      </c>
      <c r="M4" s="6">
        <v>3.08</v>
      </c>
      <c r="N4" s="6">
        <v>42.18</v>
      </c>
      <c r="O4" s="6">
        <v>0.09</v>
      </c>
      <c r="P4" s="6">
        <v>1.77</v>
      </c>
      <c r="Q4" s="6">
        <v>21.49</v>
      </c>
      <c r="R4" s="6">
        <v>3.48</v>
      </c>
      <c r="S4" s="6">
        <v>52.1</v>
      </c>
      <c r="T4" s="6">
        <v>3.59</v>
      </c>
      <c r="U4" s="6">
        <v>1.02</v>
      </c>
      <c r="V4" s="6">
        <v>1.05</v>
      </c>
      <c r="W4" s="6">
        <v>1.71</v>
      </c>
      <c r="X4" s="6">
        <v>45.3</v>
      </c>
      <c r="Y4" s="6">
        <v>0.57999999999999996</v>
      </c>
      <c r="Z4" s="6">
        <v>62.96</v>
      </c>
      <c r="AA4" s="7">
        <f t="shared" ref="AA4:AA26" si="0">ROUND((S4*0.25)+(L4*12)+(O4*12)+(N4*0.2)+(F4*2), 2)</f>
        <v>94.3</v>
      </c>
    </row>
    <row r="5" spans="1:27" ht="20" customHeight="1" x14ac:dyDescent="0.2">
      <c r="A5" s="8" t="s">
        <v>166</v>
      </c>
      <c r="B5" s="8" t="s">
        <v>62</v>
      </c>
      <c r="C5" s="8" t="s">
        <v>167</v>
      </c>
      <c r="D5" s="10">
        <v>21</v>
      </c>
      <c r="E5" s="9">
        <v>5187</v>
      </c>
      <c r="F5" s="9">
        <v>3</v>
      </c>
      <c r="G5" s="10">
        <v>3.18</v>
      </c>
      <c r="H5" s="9">
        <v>4</v>
      </c>
      <c r="I5" s="10">
        <v>6.19</v>
      </c>
      <c r="J5" s="10">
        <v>60.83</v>
      </c>
      <c r="K5" s="10">
        <v>0.05</v>
      </c>
      <c r="L5" s="10">
        <v>0.06</v>
      </c>
      <c r="M5" s="10">
        <v>0.62</v>
      </c>
      <c r="N5" s="10">
        <v>41.67</v>
      </c>
      <c r="O5" s="10">
        <v>0.11</v>
      </c>
      <c r="P5" s="10">
        <v>1.58</v>
      </c>
      <c r="Q5" s="10">
        <v>29.67</v>
      </c>
      <c r="R5" s="10">
        <v>1.25</v>
      </c>
      <c r="S5" s="10">
        <v>52.78</v>
      </c>
      <c r="T5" s="10">
        <v>1.1499999999999999</v>
      </c>
      <c r="U5" s="10">
        <v>0.95</v>
      </c>
      <c r="V5" s="10">
        <v>1.44</v>
      </c>
      <c r="W5" s="10">
        <v>4.74</v>
      </c>
      <c r="X5" s="10">
        <v>54.58</v>
      </c>
      <c r="Y5" s="10">
        <v>0.43</v>
      </c>
      <c r="Z5" s="10">
        <v>67.13</v>
      </c>
      <c r="AA5" s="11">
        <f t="shared" si="0"/>
        <v>29.57</v>
      </c>
    </row>
    <row r="6" spans="1:27" ht="20" customHeight="1" x14ac:dyDescent="0.2">
      <c r="A6" s="4" t="s">
        <v>168</v>
      </c>
      <c r="B6" s="4" t="s">
        <v>119</v>
      </c>
      <c r="C6" s="4" t="s">
        <v>165</v>
      </c>
      <c r="D6" s="6">
        <v>21</v>
      </c>
      <c r="E6" s="5">
        <v>5180</v>
      </c>
      <c r="F6" s="5">
        <v>6</v>
      </c>
      <c r="G6" s="6">
        <v>8.1199999999999992</v>
      </c>
      <c r="H6" s="5">
        <v>17</v>
      </c>
      <c r="I6" s="6">
        <v>12.65</v>
      </c>
      <c r="J6" s="6">
        <v>52.92</v>
      </c>
      <c r="K6" s="6">
        <v>0.1</v>
      </c>
      <c r="L6" s="6">
        <v>0.14000000000000001</v>
      </c>
      <c r="M6" s="6">
        <v>1.46</v>
      </c>
      <c r="N6" s="6">
        <v>34.520000000000003</v>
      </c>
      <c r="O6" s="6">
        <v>0.22</v>
      </c>
      <c r="P6" s="6">
        <v>4.43</v>
      </c>
      <c r="Q6" s="6">
        <v>36.08</v>
      </c>
      <c r="R6" s="6">
        <v>6.57</v>
      </c>
      <c r="S6" s="6">
        <v>54.76</v>
      </c>
      <c r="T6" s="6">
        <v>2.29</v>
      </c>
      <c r="U6" s="6">
        <v>2.4500000000000002</v>
      </c>
      <c r="V6" s="6">
        <v>3.13</v>
      </c>
      <c r="W6" s="6">
        <v>3.06</v>
      </c>
      <c r="X6" s="6">
        <v>65.34</v>
      </c>
      <c r="Y6" s="6">
        <v>1.2</v>
      </c>
      <c r="Z6" s="6">
        <v>77.69</v>
      </c>
      <c r="AA6" s="7">
        <f t="shared" si="0"/>
        <v>36.909999999999997</v>
      </c>
    </row>
    <row r="7" spans="1:27" ht="20" customHeight="1" x14ac:dyDescent="0.2">
      <c r="A7" s="8" t="s">
        <v>169</v>
      </c>
      <c r="B7" s="8" t="s">
        <v>31</v>
      </c>
      <c r="C7" s="8" t="s">
        <v>170</v>
      </c>
      <c r="D7" s="10">
        <v>22</v>
      </c>
      <c r="E7" s="9">
        <v>5167</v>
      </c>
      <c r="F7" s="9">
        <v>7</v>
      </c>
      <c r="G7" s="10">
        <v>11</v>
      </c>
      <c r="H7" s="9">
        <v>7</v>
      </c>
      <c r="I7" s="10">
        <v>7.62</v>
      </c>
      <c r="J7" s="10">
        <v>63.23</v>
      </c>
      <c r="K7" s="10">
        <v>0.1</v>
      </c>
      <c r="L7" s="10">
        <v>0.19</v>
      </c>
      <c r="M7" s="10">
        <v>1.88</v>
      </c>
      <c r="N7" s="10">
        <v>31.48</v>
      </c>
      <c r="O7" s="10">
        <v>0.13</v>
      </c>
      <c r="P7" s="10">
        <v>2.96</v>
      </c>
      <c r="Q7" s="10">
        <v>28.82</v>
      </c>
      <c r="R7" s="10">
        <v>5.85</v>
      </c>
      <c r="S7" s="10">
        <v>52.08</v>
      </c>
      <c r="T7" s="10">
        <v>2.96</v>
      </c>
      <c r="U7" s="10">
        <v>3.07</v>
      </c>
      <c r="V7" s="10">
        <v>1.69</v>
      </c>
      <c r="W7" s="10">
        <v>2.11</v>
      </c>
      <c r="X7" s="10">
        <v>53.72</v>
      </c>
      <c r="Y7" s="10">
        <v>0.61</v>
      </c>
      <c r="Z7" s="10">
        <v>67.02</v>
      </c>
      <c r="AA7" s="11">
        <f t="shared" si="0"/>
        <v>37.159999999999997</v>
      </c>
    </row>
    <row r="8" spans="1:27" ht="20" customHeight="1" x14ac:dyDescent="0.2">
      <c r="A8" s="4" t="s">
        <v>171</v>
      </c>
      <c r="B8" s="4" t="s">
        <v>27</v>
      </c>
      <c r="C8" s="4" t="s">
        <v>172</v>
      </c>
      <c r="D8" s="6">
        <v>25</v>
      </c>
      <c r="E8" s="5">
        <v>4692</v>
      </c>
      <c r="F8" s="5">
        <v>10</v>
      </c>
      <c r="G8" s="6">
        <v>5.23</v>
      </c>
      <c r="H8" s="5">
        <v>13</v>
      </c>
      <c r="I8" s="6">
        <v>12.46</v>
      </c>
      <c r="J8" s="6">
        <v>52.69</v>
      </c>
      <c r="K8" s="6">
        <v>0.19</v>
      </c>
      <c r="L8" s="6">
        <v>0.1</v>
      </c>
      <c r="M8" s="6">
        <v>1.48</v>
      </c>
      <c r="N8" s="6">
        <v>46.75</v>
      </c>
      <c r="O8" s="6">
        <v>0.24</v>
      </c>
      <c r="P8" s="6">
        <v>6.27</v>
      </c>
      <c r="Q8" s="6">
        <v>33.33</v>
      </c>
      <c r="R8" s="6">
        <v>5.24</v>
      </c>
      <c r="S8" s="6">
        <v>60.07</v>
      </c>
      <c r="T8" s="6">
        <v>2.0099999999999998</v>
      </c>
      <c r="U8" s="6">
        <v>1.94</v>
      </c>
      <c r="V8" s="6">
        <v>0.63</v>
      </c>
      <c r="W8" s="6">
        <v>4.09</v>
      </c>
      <c r="X8" s="6">
        <v>54.46</v>
      </c>
      <c r="Y8" s="6">
        <v>1.23</v>
      </c>
      <c r="Z8" s="6">
        <v>78.08</v>
      </c>
      <c r="AA8" s="7">
        <f t="shared" si="0"/>
        <v>48.45</v>
      </c>
    </row>
    <row r="9" spans="1:27" ht="20" customHeight="1" x14ac:dyDescent="0.2">
      <c r="A9" s="8" t="s">
        <v>173</v>
      </c>
      <c r="B9" s="8" t="s">
        <v>55</v>
      </c>
      <c r="C9" s="8" t="s">
        <v>174</v>
      </c>
      <c r="D9" s="10">
        <v>23</v>
      </c>
      <c r="E9" s="9">
        <v>4368</v>
      </c>
      <c r="F9" s="9">
        <v>21</v>
      </c>
      <c r="G9" s="10">
        <v>18.29</v>
      </c>
      <c r="H9" s="9">
        <v>13</v>
      </c>
      <c r="I9" s="10">
        <v>7.28</v>
      </c>
      <c r="J9" s="10">
        <v>61.21</v>
      </c>
      <c r="K9" s="10">
        <v>0.39</v>
      </c>
      <c r="L9" s="10">
        <v>0.38</v>
      </c>
      <c r="M9" s="10">
        <v>2.4500000000000002</v>
      </c>
      <c r="N9" s="10">
        <v>47.9</v>
      </c>
      <c r="O9" s="10">
        <v>0.15</v>
      </c>
      <c r="P9" s="10">
        <v>2.4700000000000002</v>
      </c>
      <c r="Q9" s="10">
        <v>35</v>
      </c>
      <c r="R9" s="10">
        <v>6.02</v>
      </c>
      <c r="S9" s="10">
        <v>52.74</v>
      </c>
      <c r="T9" s="10">
        <v>4.43</v>
      </c>
      <c r="U9" s="10">
        <v>3.23</v>
      </c>
      <c r="V9" s="10">
        <v>0.66</v>
      </c>
      <c r="W9" s="10">
        <v>1.05</v>
      </c>
      <c r="X9" s="10">
        <v>54.9</v>
      </c>
      <c r="Y9" s="10">
        <v>0.8</v>
      </c>
      <c r="Z9" s="10">
        <v>69.77</v>
      </c>
      <c r="AA9" s="11">
        <f t="shared" si="0"/>
        <v>71.13</v>
      </c>
    </row>
    <row r="10" spans="1:27" ht="20" customHeight="1" x14ac:dyDescent="0.2">
      <c r="A10" s="4" t="s">
        <v>175</v>
      </c>
      <c r="B10" s="4" t="s">
        <v>124</v>
      </c>
      <c r="C10" s="4" t="s">
        <v>176</v>
      </c>
      <c r="D10" s="6">
        <v>25</v>
      </c>
      <c r="E10" s="5">
        <v>3978</v>
      </c>
      <c r="F10" s="5">
        <v>1</v>
      </c>
      <c r="G10" s="6">
        <v>4.55</v>
      </c>
      <c r="H10" s="5">
        <v>7</v>
      </c>
      <c r="I10" s="6">
        <v>6.57</v>
      </c>
      <c r="J10" s="6">
        <v>61.44</v>
      </c>
      <c r="K10" s="6">
        <v>0.02</v>
      </c>
      <c r="L10" s="6">
        <v>0.1</v>
      </c>
      <c r="M10" s="6">
        <v>0.97</v>
      </c>
      <c r="N10" s="6">
        <v>46.51</v>
      </c>
      <c r="O10" s="6">
        <v>0.15</v>
      </c>
      <c r="P10" s="6">
        <v>3.51</v>
      </c>
      <c r="Q10" s="6">
        <v>29.68</v>
      </c>
      <c r="R10" s="6">
        <v>5.43</v>
      </c>
      <c r="S10" s="6">
        <v>50.42</v>
      </c>
      <c r="T10" s="6">
        <v>2.69</v>
      </c>
      <c r="U10" s="6">
        <v>3.1</v>
      </c>
      <c r="V10" s="6">
        <v>2.1</v>
      </c>
      <c r="W10" s="6">
        <v>2.74</v>
      </c>
      <c r="X10" s="6">
        <v>46.28</v>
      </c>
      <c r="Y10" s="6">
        <v>0.63</v>
      </c>
      <c r="Z10" s="6">
        <v>64.73</v>
      </c>
      <c r="AA10" s="7">
        <f t="shared" si="0"/>
        <v>26.91</v>
      </c>
    </row>
    <row r="11" spans="1:27" ht="20" customHeight="1" x14ac:dyDescent="0.2">
      <c r="A11" s="8" t="s">
        <v>177</v>
      </c>
      <c r="B11" s="8" t="s">
        <v>37</v>
      </c>
      <c r="C11" s="8" t="s">
        <v>178</v>
      </c>
      <c r="D11" s="10">
        <v>26</v>
      </c>
      <c r="E11" s="9">
        <v>3277</v>
      </c>
      <c r="F11" s="9">
        <v>10</v>
      </c>
      <c r="G11" s="10">
        <v>9.7899999999999991</v>
      </c>
      <c r="H11" s="9">
        <v>7</v>
      </c>
      <c r="I11" s="10">
        <v>4.6399999999999997</v>
      </c>
      <c r="J11" s="10">
        <v>60.42</v>
      </c>
      <c r="K11" s="10">
        <v>0.27</v>
      </c>
      <c r="L11" s="10">
        <v>0.27</v>
      </c>
      <c r="M11" s="10">
        <v>1.76</v>
      </c>
      <c r="N11" s="10">
        <v>43.75</v>
      </c>
      <c r="O11" s="10">
        <v>0.13</v>
      </c>
      <c r="P11" s="10">
        <v>1.26</v>
      </c>
      <c r="Q11" s="10">
        <v>21.74</v>
      </c>
      <c r="R11" s="10">
        <v>2.2200000000000002</v>
      </c>
      <c r="S11" s="10">
        <v>55.56</v>
      </c>
      <c r="T11" s="10">
        <v>2.83</v>
      </c>
      <c r="U11" s="10">
        <v>1.48</v>
      </c>
      <c r="V11" s="10">
        <v>0.66</v>
      </c>
      <c r="W11" s="10">
        <v>3.05</v>
      </c>
      <c r="X11" s="10">
        <v>54.05</v>
      </c>
      <c r="Y11" s="10">
        <v>0.8</v>
      </c>
      <c r="Z11" s="10">
        <v>70.83</v>
      </c>
      <c r="AA11" s="11">
        <f t="shared" si="0"/>
        <v>47.44</v>
      </c>
    </row>
    <row r="12" spans="1:27" ht="20" customHeight="1" x14ac:dyDescent="0.2">
      <c r="A12" s="4" t="s">
        <v>179</v>
      </c>
      <c r="B12" s="4" t="s">
        <v>37</v>
      </c>
      <c r="C12" s="4" t="s">
        <v>178</v>
      </c>
      <c r="D12" s="6">
        <v>20</v>
      </c>
      <c r="E12" s="5">
        <v>2995</v>
      </c>
      <c r="F12" s="5">
        <v>12</v>
      </c>
      <c r="G12" s="6">
        <v>7.82</v>
      </c>
      <c r="H12" s="5">
        <v>1</v>
      </c>
      <c r="I12" s="6">
        <v>2.33</v>
      </c>
      <c r="J12" s="6">
        <v>59.83</v>
      </c>
      <c r="K12" s="6">
        <v>0.36</v>
      </c>
      <c r="L12" s="6">
        <v>0.24</v>
      </c>
      <c r="M12" s="6">
        <v>1.8</v>
      </c>
      <c r="N12" s="6">
        <v>46.67</v>
      </c>
      <c r="O12" s="6">
        <v>7.0000000000000007E-2</v>
      </c>
      <c r="P12" s="6">
        <v>1.23</v>
      </c>
      <c r="Q12" s="6">
        <v>14.63</v>
      </c>
      <c r="R12" s="6">
        <v>5.1100000000000003</v>
      </c>
      <c r="S12" s="6">
        <v>49.41</v>
      </c>
      <c r="T12" s="6">
        <v>3.67</v>
      </c>
      <c r="U12" s="6">
        <v>2.46</v>
      </c>
      <c r="V12" s="6">
        <v>0.93</v>
      </c>
      <c r="W12" s="6">
        <v>1.29</v>
      </c>
      <c r="X12" s="6">
        <v>69.77</v>
      </c>
      <c r="Y12" s="6">
        <v>0.6</v>
      </c>
      <c r="Z12" s="6">
        <v>60</v>
      </c>
      <c r="AA12" s="7">
        <f t="shared" si="0"/>
        <v>49.41</v>
      </c>
    </row>
    <row r="13" spans="1:27" ht="20" customHeight="1" x14ac:dyDescent="0.2">
      <c r="A13" s="8" t="s">
        <v>180</v>
      </c>
      <c r="B13" s="8" t="s">
        <v>45</v>
      </c>
      <c r="C13" s="8" t="s">
        <v>181</v>
      </c>
      <c r="D13" s="10">
        <v>20</v>
      </c>
      <c r="E13" s="9">
        <v>2572</v>
      </c>
      <c r="F13" s="9">
        <v>11</v>
      </c>
      <c r="G13" s="10">
        <v>11.35</v>
      </c>
      <c r="H13" s="9">
        <v>5</v>
      </c>
      <c r="I13" s="10">
        <v>6.77</v>
      </c>
      <c r="J13" s="10">
        <v>60.27</v>
      </c>
      <c r="K13" s="10">
        <v>0.35</v>
      </c>
      <c r="L13" s="10">
        <v>0.4</v>
      </c>
      <c r="M13" s="10">
        <v>2.48</v>
      </c>
      <c r="N13" s="10">
        <v>42.25</v>
      </c>
      <c r="O13" s="10">
        <v>0.24</v>
      </c>
      <c r="P13" s="10">
        <v>2.5499999999999998</v>
      </c>
      <c r="Q13" s="10">
        <v>27.4</v>
      </c>
      <c r="R13" s="10">
        <v>2.83</v>
      </c>
      <c r="S13" s="10">
        <v>58.02</v>
      </c>
      <c r="T13" s="10">
        <v>4.16</v>
      </c>
      <c r="U13" s="10">
        <v>2.06</v>
      </c>
      <c r="V13" s="10">
        <v>0.98</v>
      </c>
      <c r="W13" s="10">
        <v>2.17</v>
      </c>
      <c r="X13" s="10">
        <v>48.39</v>
      </c>
      <c r="Y13" s="10">
        <v>0.91</v>
      </c>
      <c r="Z13" s="10">
        <v>67.569999999999993</v>
      </c>
      <c r="AA13" s="11">
        <f t="shared" si="0"/>
        <v>52.64</v>
      </c>
    </row>
    <row r="14" spans="1:27" ht="20" customHeight="1" x14ac:dyDescent="0.2">
      <c r="A14" s="4" t="s">
        <v>182</v>
      </c>
      <c r="B14" s="4" t="s">
        <v>57</v>
      </c>
      <c r="C14" s="4" t="s">
        <v>183</v>
      </c>
      <c r="D14" s="6">
        <v>31</v>
      </c>
      <c r="E14" s="5">
        <v>2565</v>
      </c>
      <c r="F14" s="5">
        <v>11</v>
      </c>
      <c r="G14" s="6">
        <v>9.09</v>
      </c>
      <c r="H14" s="5">
        <v>1</v>
      </c>
      <c r="I14" s="6">
        <v>5.22</v>
      </c>
      <c r="J14" s="6">
        <v>53.97</v>
      </c>
      <c r="K14" s="6">
        <v>0.25</v>
      </c>
      <c r="L14" s="6">
        <v>0.32</v>
      </c>
      <c r="M14" s="6">
        <v>2.39</v>
      </c>
      <c r="N14" s="6">
        <v>48.53</v>
      </c>
      <c r="O14" s="6">
        <v>0.18</v>
      </c>
      <c r="P14" s="6">
        <v>1.93</v>
      </c>
      <c r="Q14" s="6">
        <v>49.09</v>
      </c>
      <c r="R14" s="6">
        <v>3.65</v>
      </c>
      <c r="S14" s="6">
        <v>50</v>
      </c>
      <c r="T14" s="6">
        <v>2.2799999999999998</v>
      </c>
      <c r="U14" s="6">
        <v>2.04</v>
      </c>
      <c r="V14" s="6">
        <v>1.02</v>
      </c>
      <c r="W14" s="6">
        <v>3.86</v>
      </c>
      <c r="X14" s="6">
        <v>71.819999999999993</v>
      </c>
      <c r="Y14" s="6">
        <v>1.26</v>
      </c>
      <c r="Z14" s="6">
        <v>85.14</v>
      </c>
      <c r="AA14" s="7">
        <f t="shared" si="0"/>
        <v>50.21</v>
      </c>
    </row>
    <row r="15" spans="1:27" ht="20" customHeight="1" x14ac:dyDescent="0.2">
      <c r="A15" s="8" t="s">
        <v>184</v>
      </c>
      <c r="B15" s="8" t="s">
        <v>62</v>
      </c>
      <c r="C15" s="8" t="s">
        <v>185</v>
      </c>
      <c r="D15" s="10">
        <v>22</v>
      </c>
      <c r="E15" s="9">
        <v>2519</v>
      </c>
      <c r="F15" s="9">
        <v>15</v>
      </c>
      <c r="G15" s="10">
        <v>9.08</v>
      </c>
      <c r="H15" s="9">
        <v>4</v>
      </c>
      <c r="I15" s="10">
        <v>1.75</v>
      </c>
      <c r="J15" s="10">
        <v>55.8</v>
      </c>
      <c r="K15" s="10">
        <v>0.54</v>
      </c>
      <c r="L15" s="10">
        <v>0.32</v>
      </c>
      <c r="M15" s="10">
        <v>1.93</v>
      </c>
      <c r="N15" s="10">
        <v>48.15</v>
      </c>
      <c r="O15" s="10">
        <v>0.06</v>
      </c>
      <c r="P15" s="10">
        <v>1.46</v>
      </c>
      <c r="Q15" s="10">
        <v>29.27</v>
      </c>
      <c r="R15" s="10">
        <v>3.32</v>
      </c>
      <c r="S15" s="10">
        <v>50.54</v>
      </c>
      <c r="T15" s="10">
        <v>3.14</v>
      </c>
      <c r="U15" s="10">
        <v>1.43</v>
      </c>
      <c r="V15" s="10">
        <v>0.54</v>
      </c>
      <c r="W15" s="10">
        <v>1.93</v>
      </c>
      <c r="X15" s="10">
        <v>46.3</v>
      </c>
      <c r="Y15" s="10">
        <v>0.68</v>
      </c>
      <c r="Z15" s="10">
        <v>55.42</v>
      </c>
      <c r="AA15" s="11">
        <f t="shared" si="0"/>
        <v>56.83</v>
      </c>
    </row>
    <row r="16" spans="1:27" ht="20" customHeight="1" x14ac:dyDescent="0.2">
      <c r="A16" s="4" t="s">
        <v>186</v>
      </c>
      <c r="B16" s="4" t="s">
        <v>48</v>
      </c>
      <c r="C16" s="4" t="s">
        <v>187</v>
      </c>
      <c r="D16" s="6">
        <v>20</v>
      </c>
      <c r="E16" s="5">
        <v>2491</v>
      </c>
      <c r="F16" s="5">
        <v>4</v>
      </c>
      <c r="G16" s="6">
        <v>5.0199999999999996</v>
      </c>
      <c r="H16" s="5">
        <v>1</v>
      </c>
      <c r="I16" s="6">
        <v>1.69</v>
      </c>
      <c r="J16" s="6">
        <v>66.040000000000006</v>
      </c>
      <c r="K16" s="6">
        <v>0.14000000000000001</v>
      </c>
      <c r="L16" s="6">
        <v>0.18</v>
      </c>
      <c r="M16" s="6">
        <v>0.94</v>
      </c>
      <c r="N16" s="6">
        <v>38.46</v>
      </c>
      <c r="O16" s="6">
        <v>0.06</v>
      </c>
      <c r="P16" s="6">
        <v>2.02</v>
      </c>
      <c r="Q16" s="6">
        <v>25</v>
      </c>
      <c r="R16" s="6">
        <v>3.03</v>
      </c>
      <c r="S16" s="6">
        <v>48.81</v>
      </c>
      <c r="T16" s="6">
        <v>3.47</v>
      </c>
      <c r="U16" s="6">
        <v>1.81</v>
      </c>
      <c r="V16" s="6">
        <v>0.54</v>
      </c>
      <c r="W16" s="6">
        <v>1.81</v>
      </c>
      <c r="X16" s="6">
        <v>52</v>
      </c>
      <c r="Y16" s="6">
        <v>0.43</v>
      </c>
      <c r="Z16" s="6">
        <v>57.35</v>
      </c>
      <c r="AA16" s="7">
        <f t="shared" si="0"/>
        <v>30.77</v>
      </c>
    </row>
    <row r="17" spans="1:27" ht="20" customHeight="1" x14ac:dyDescent="0.2">
      <c r="A17" s="8" t="s">
        <v>188</v>
      </c>
      <c r="B17" s="8" t="s">
        <v>65</v>
      </c>
      <c r="C17" s="8" t="s">
        <v>189</v>
      </c>
      <c r="D17" s="10">
        <v>24</v>
      </c>
      <c r="E17" s="9">
        <v>2304</v>
      </c>
      <c r="F17" s="9">
        <v>7</v>
      </c>
      <c r="G17" s="10">
        <v>8.81</v>
      </c>
      <c r="H17" s="9">
        <v>2</v>
      </c>
      <c r="I17" s="10">
        <v>3.1</v>
      </c>
      <c r="J17" s="10">
        <v>57.81</v>
      </c>
      <c r="K17" s="10">
        <v>0.27</v>
      </c>
      <c r="L17" s="10">
        <v>0.34</v>
      </c>
      <c r="M17" s="10">
        <v>2.15</v>
      </c>
      <c r="N17" s="10">
        <v>41.82</v>
      </c>
      <c r="O17" s="10">
        <v>0.12</v>
      </c>
      <c r="P17" s="10">
        <v>3.98</v>
      </c>
      <c r="Q17" s="10">
        <v>22.55</v>
      </c>
      <c r="R17" s="10">
        <v>4.7300000000000004</v>
      </c>
      <c r="S17" s="10">
        <v>70.25</v>
      </c>
      <c r="T17" s="10">
        <v>5.12</v>
      </c>
      <c r="U17" s="10">
        <v>1.8</v>
      </c>
      <c r="V17" s="10">
        <v>1.64</v>
      </c>
      <c r="W17" s="10">
        <v>1.8</v>
      </c>
      <c r="X17" s="10">
        <v>58.7</v>
      </c>
      <c r="Y17" s="10">
        <v>1.21</v>
      </c>
      <c r="Z17" s="10">
        <v>74.16</v>
      </c>
      <c r="AA17" s="11">
        <f t="shared" si="0"/>
        <v>45.45</v>
      </c>
    </row>
    <row r="18" spans="1:27" ht="20" customHeight="1" x14ac:dyDescent="0.2">
      <c r="A18" s="4" t="s">
        <v>190</v>
      </c>
      <c r="B18" s="4" t="s">
        <v>45</v>
      </c>
      <c r="C18" s="4" t="s">
        <v>191</v>
      </c>
      <c r="D18" s="6">
        <v>29</v>
      </c>
      <c r="E18" s="5">
        <v>2152</v>
      </c>
      <c r="F18" s="5">
        <v>8</v>
      </c>
      <c r="G18" s="6">
        <v>10.4</v>
      </c>
      <c r="H18" s="5">
        <v>7</v>
      </c>
      <c r="I18" s="6">
        <v>4.28</v>
      </c>
      <c r="J18" s="6">
        <v>52.25</v>
      </c>
      <c r="K18" s="6">
        <v>0.33</v>
      </c>
      <c r="L18" s="6">
        <v>0.44</v>
      </c>
      <c r="M18" s="6">
        <v>2.13</v>
      </c>
      <c r="N18" s="6">
        <v>50.98</v>
      </c>
      <c r="O18" s="6">
        <v>0.18</v>
      </c>
      <c r="P18" s="6">
        <v>2.59</v>
      </c>
      <c r="Q18" s="6">
        <v>32.26</v>
      </c>
      <c r="R18" s="6">
        <v>2.09</v>
      </c>
      <c r="S18" s="6">
        <v>64</v>
      </c>
      <c r="T18" s="6">
        <v>4.3899999999999997</v>
      </c>
      <c r="U18" s="6">
        <v>1.8</v>
      </c>
      <c r="V18" s="6">
        <v>0.84</v>
      </c>
      <c r="W18" s="6">
        <v>2.8</v>
      </c>
      <c r="X18" s="6">
        <v>61.19</v>
      </c>
      <c r="Y18" s="6">
        <v>0.79</v>
      </c>
      <c r="Z18" s="6">
        <v>68.63</v>
      </c>
      <c r="AA18" s="7">
        <f t="shared" si="0"/>
        <v>49.64</v>
      </c>
    </row>
    <row r="19" spans="1:27" ht="20" customHeight="1" x14ac:dyDescent="0.2">
      <c r="A19" s="8" t="s">
        <v>192</v>
      </c>
      <c r="B19" s="8" t="s">
        <v>45</v>
      </c>
      <c r="C19" s="8" t="s">
        <v>193</v>
      </c>
      <c r="D19" s="10"/>
      <c r="E19" s="9">
        <v>2033</v>
      </c>
      <c r="F19" s="9">
        <v>2</v>
      </c>
      <c r="G19" s="10">
        <v>4.59</v>
      </c>
      <c r="H19" s="9">
        <v>4</v>
      </c>
      <c r="I19" s="10">
        <v>4.0199999999999996</v>
      </c>
      <c r="J19" s="10">
        <v>53.4</v>
      </c>
      <c r="K19" s="10">
        <v>0.09</v>
      </c>
      <c r="L19" s="10">
        <v>0.2</v>
      </c>
      <c r="M19" s="10">
        <v>1.9</v>
      </c>
      <c r="N19" s="10">
        <v>25.58</v>
      </c>
      <c r="O19" s="10">
        <v>0.18</v>
      </c>
      <c r="P19" s="10">
        <v>2.79</v>
      </c>
      <c r="Q19" s="10">
        <v>30.16</v>
      </c>
      <c r="R19" s="10">
        <v>6.68</v>
      </c>
      <c r="S19" s="10">
        <v>62.25</v>
      </c>
      <c r="T19" s="10">
        <v>3.19</v>
      </c>
      <c r="U19" s="10">
        <v>4.47</v>
      </c>
      <c r="V19" s="10">
        <v>2.35</v>
      </c>
      <c r="W19" s="10">
        <v>0.66</v>
      </c>
      <c r="X19" s="10">
        <v>80</v>
      </c>
      <c r="Y19" s="10">
        <v>0.84</v>
      </c>
      <c r="Z19" s="10">
        <v>68</v>
      </c>
      <c r="AA19" s="11">
        <f t="shared" si="0"/>
        <v>29.24</v>
      </c>
    </row>
    <row r="20" spans="1:27" ht="20" customHeight="1" x14ac:dyDescent="0.2">
      <c r="A20" s="4" t="s">
        <v>96</v>
      </c>
      <c r="B20" s="4" t="s">
        <v>31</v>
      </c>
      <c r="C20" s="4" t="s">
        <v>194</v>
      </c>
      <c r="D20" s="6">
        <v>21</v>
      </c>
      <c r="E20" s="5">
        <v>1839</v>
      </c>
      <c r="F20" s="5">
        <v>1</v>
      </c>
      <c r="G20" s="6">
        <v>0.82</v>
      </c>
      <c r="H20" s="5">
        <v>1</v>
      </c>
      <c r="I20" s="6">
        <v>1.23</v>
      </c>
      <c r="J20" s="6">
        <v>66.12</v>
      </c>
      <c r="K20" s="6">
        <v>0.05</v>
      </c>
      <c r="L20" s="6">
        <v>0.04</v>
      </c>
      <c r="M20" s="6">
        <v>0.69</v>
      </c>
      <c r="N20" s="6">
        <v>42.86</v>
      </c>
      <c r="O20" s="6">
        <v>0.06</v>
      </c>
      <c r="P20" s="6">
        <v>4.45</v>
      </c>
      <c r="Q20" s="6">
        <v>25.27</v>
      </c>
      <c r="R20" s="6">
        <v>4.8499999999999996</v>
      </c>
      <c r="S20" s="6">
        <v>46.46</v>
      </c>
      <c r="T20" s="6">
        <v>1.42</v>
      </c>
      <c r="U20" s="6">
        <v>2.2999999999999998</v>
      </c>
      <c r="V20" s="6">
        <v>1.62</v>
      </c>
      <c r="W20" s="6">
        <v>2.59</v>
      </c>
      <c r="X20" s="6">
        <v>60.38</v>
      </c>
      <c r="Y20" s="6">
        <v>0.54</v>
      </c>
      <c r="Z20" s="6">
        <v>57.14</v>
      </c>
      <c r="AA20" s="7">
        <f t="shared" si="0"/>
        <v>23.39</v>
      </c>
    </row>
    <row r="21" spans="1:27" ht="20" customHeight="1" x14ac:dyDescent="0.2">
      <c r="A21" s="8" t="s">
        <v>195</v>
      </c>
      <c r="B21" s="8" t="s">
        <v>119</v>
      </c>
      <c r="C21" s="8" t="s">
        <v>196</v>
      </c>
      <c r="D21" s="10">
        <v>20</v>
      </c>
      <c r="E21" s="9">
        <v>1459</v>
      </c>
      <c r="F21" s="9">
        <v>1</v>
      </c>
      <c r="G21" s="10">
        <v>3.4</v>
      </c>
      <c r="H21" s="9">
        <v>3</v>
      </c>
      <c r="I21" s="10">
        <v>2.71</v>
      </c>
      <c r="J21" s="10">
        <v>64.52</v>
      </c>
      <c r="K21" s="10">
        <v>0.06</v>
      </c>
      <c r="L21" s="10">
        <v>0.21</v>
      </c>
      <c r="M21" s="10">
        <v>1.6</v>
      </c>
      <c r="N21" s="10">
        <v>42.31</v>
      </c>
      <c r="O21" s="10">
        <v>0.17</v>
      </c>
      <c r="P21" s="10">
        <v>2.71</v>
      </c>
      <c r="Q21" s="10">
        <v>38.64</v>
      </c>
      <c r="R21" s="10">
        <v>4.6900000000000004</v>
      </c>
      <c r="S21" s="10">
        <v>48.68</v>
      </c>
      <c r="T21" s="10">
        <v>3.21</v>
      </c>
      <c r="U21" s="10">
        <v>2.41</v>
      </c>
      <c r="V21" s="10">
        <v>0.86</v>
      </c>
      <c r="W21" s="10">
        <v>2.2200000000000002</v>
      </c>
      <c r="X21" s="10">
        <v>61.11</v>
      </c>
      <c r="Y21" s="10">
        <v>0.8</v>
      </c>
      <c r="Z21" s="10">
        <v>66.67</v>
      </c>
      <c r="AA21" s="11">
        <f t="shared" si="0"/>
        <v>27.19</v>
      </c>
    </row>
    <row r="22" spans="1:27" ht="20" customHeight="1" x14ac:dyDescent="0.2">
      <c r="A22" s="4" t="s">
        <v>197</v>
      </c>
      <c r="B22" s="4" t="s">
        <v>119</v>
      </c>
      <c r="C22" s="4" t="s">
        <v>198</v>
      </c>
      <c r="D22" s="6">
        <v>18</v>
      </c>
      <c r="E22" s="5">
        <v>1437</v>
      </c>
      <c r="F22" s="5">
        <v>7</v>
      </c>
      <c r="G22" s="6">
        <v>5.81</v>
      </c>
      <c r="H22" s="5">
        <v>0</v>
      </c>
      <c r="I22" s="6">
        <v>1.26</v>
      </c>
      <c r="J22" s="6">
        <v>45.45</v>
      </c>
      <c r="K22" s="6">
        <v>0.44</v>
      </c>
      <c r="L22" s="6">
        <v>0.36</v>
      </c>
      <c r="M22" s="6">
        <v>1.69</v>
      </c>
      <c r="N22" s="6">
        <v>55.56</v>
      </c>
      <c r="O22" s="6">
        <v>0.08</v>
      </c>
      <c r="P22" s="6">
        <v>3.26</v>
      </c>
      <c r="Q22" s="6">
        <v>19.23</v>
      </c>
      <c r="R22" s="6">
        <v>4.2</v>
      </c>
      <c r="S22" s="6">
        <v>67.16</v>
      </c>
      <c r="T22" s="6">
        <v>4.01</v>
      </c>
      <c r="U22" s="6">
        <v>2.25</v>
      </c>
      <c r="V22" s="6">
        <v>0.56000000000000005</v>
      </c>
      <c r="W22" s="6">
        <v>1.63</v>
      </c>
      <c r="X22" s="6">
        <v>46.15</v>
      </c>
      <c r="Y22" s="6">
        <v>0.5</v>
      </c>
      <c r="Z22" s="6">
        <v>59.65</v>
      </c>
      <c r="AA22" s="7">
        <f t="shared" si="0"/>
        <v>47.18</v>
      </c>
    </row>
    <row r="23" spans="1:27" ht="20" customHeight="1" x14ac:dyDescent="0.2">
      <c r="A23" s="8" t="s">
        <v>199</v>
      </c>
      <c r="B23" s="8" t="s">
        <v>57</v>
      </c>
      <c r="C23" s="8" t="s">
        <v>200</v>
      </c>
      <c r="D23" s="10">
        <v>21</v>
      </c>
      <c r="E23" s="9">
        <v>1356</v>
      </c>
      <c r="F23" s="9">
        <v>3</v>
      </c>
      <c r="G23" s="10">
        <v>4.41</v>
      </c>
      <c r="H23" s="9">
        <v>0</v>
      </c>
      <c r="I23" s="10">
        <v>1.45</v>
      </c>
      <c r="J23" s="10">
        <v>51.81</v>
      </c>
      <c r="K23" s="10">
        <v>0.2</v>
      </c>
      <c r="L23" s="10">
        <v>0.28999999999999998</v>
      </c>
      <c r="M23" s="10">
        <v>1.39</v>
      </c>
      <c r="N23" s="10">
        <v>47.62</v>
      </c>
      <c r="O23" s="10">
        <v>0.1</v>
      </c>
      <c r="P23" s="10">
        <v>2.19</v>
      </c>
      <c r="Q23" s="10">
        <v>24.24</v>
      </c>
      <c r="R23" s="10">
        <v>1.66</v>
      </c>
      <c r="S23" s="10">
        <v>48</v>
      </c>
      <c r="T23" s="10">
        <v>2.79</v>
      </c>
      <c r="U23" s="10">
        <v>2.59</v>
      </c>
      <c r="V23" s="10">
        <v>1.33</v>
      </c>
      <c r="W23" s="10">
        <v>1.59</v>
      </c>
      <c r="X23" s="10">
        <v>62.5</v>
      </c>
      <c r="Y23" s="10">
        <v>0.93</v>
      </c>
      <c r="Z23" s="10">
        <v>74.42</v>
      </c>
      <c r="AA23" s="11">
        <f t="shared" si="0"/>
        <v>32.200000000000003</v>
      </c>
    </row>
    <row r="24" spans="1:27" ht="20" customHeight="1" x14ac:dyDescent="0.2">
      <c r="A24" s="4" t="s">
        <v>201</v>
      </c>
      <c r="B24" s="4" t="s">
        <v>57</v>
      </c>
      <c r="C24" s="4" t="s">
        <v>202</v>
      </c>
      <c r="D24" s="6">
        <v>24</v>
      </c>
      <c r="E24" s="5">
        <v>1087</v>
      </c>
      <c r="F24" s="5">
        <v>7</v>
      </c>
      <c r="G24" s="6">
        <v>4.75</v>
      </c>
      <c r="H24" s="5">
        <v>1</v>
      </c>
      <c r="I24" s="6">
        <v>1.48</v>
      </c>
      <c r="J24" s="6">
        <v>45.88</v>
      </c>
      <c r="K24" s="6">
        <v>0.57999999999999996</v>
      </c>
      <c r="L24" s="6">
        <v>0.39</v>
      </c>
      <c r="M24" s="6">
        <v>2.4</v>
      </c>
      <c r="N24" s="6">
        <v>48.28</v>
      </c>
      <c r="O24" s="6">
        <v>0.12</v>
      </c>
      <c r="P24" s="6">
        <v>1.99</v>
      </c>
      <c r="Q24" s="6">
        <v>16.670000000000002</v>
      </c>
      <c r="R24" s="6">
        <v>2.4</v>
      </c>
      <c r="S24" s="6">
        <v>79.31</v>
      </c>
      <c r="T24" s="6">
        <v>3.64</v>
      </c>
      <c r="U24" s="6">
        <v>1.1599999999999999</v>
      </c>
      <c r="V24" s="6">
        <v>0.57999999999999996</v>
      </c>
      <c r="W24" s="6">
        <v>1.49</v>
      </c>
      <c r="X24" s="6">
        <v>55.56</v>
      </c>
      <c r="Y24" s="6">
        <v>0.75</v>
      </c>
      <c r="Z24" s="6">
        <v>70.59</v>
      </c>
      <c r="AA24" s="7">
        <f t="shared" si="0"/>
        <v>49.6</v>
      </c>
    </row>
    <row r="25" spans="1:27" ht="20" customHeight="1" x14ac:dyDescent="0.2">
      <c r="A25" s="8" t="s">
        <v>203</v>
      </c>
      <c r="B25" s="8" t="s">
        <v>37</v>
      </c>
      <c r="C25" s="8" t="s">
        <v>204</v>
      </c>
      <c r="D25" s="10">
        <v>19</v>
      </c>
      <c r="E25" s="9">
        <v>779</v>
      </c>
      <c r="F25" s="9">
        <v>0</v>
      </c>
      <c r="G25" s="10">
        <v>1.24</v>
      </c>
      <c r="H25" s="9">
        <v>1</v>
      </c>
      <c r="I25" s="10">
        <v>0.82</v>
      </c>
      <c r="J25" s="10">
        <v>58.82</v>
      </c>
      <c r="K25" s="10">
        <v>0</v>
      </c>
      <c r="L25" s="10">
        <v>0.14000000000000001</v>
      </c>
      <c r="M25" s="10">
        <v>2.2000000000000002</v>
      </c>
      <c r="N25" s="10">
        <v>26.32</v>
      </c>
      <c r="O25" s="10">
        <v>0.09</v>
      </c>
      <c r="P25" s="10">
        <v>4.74</v>
      </c>
      <c r="Q25" s="10">
        <v>39.020000000000003</v>
      </c>
      <c r="R25" s="10">
        <v>5.08</v>
      </c>
      <c r="S25" s="10">
        <v>36.36</v>
      </c>
      <c r="T25" s="10">
        <v>1.85</v>
      </c>
      <c r="U25" s="10">
        <v>1.73</v>
      </c>
      <c r="V25" s="10">
        <v>0.81</v>
      </c>
      <c r="W25" s="10">
        <v>4.51</v>
      </c>
      <c r="X25" s="10">
        <v>38.46</v>
      </c>
      <c r="Y25" s="10">
        <v>0.69</v>
      </c>
      <c r="Z25" s="10">
        <v>70.180000000000007</v>
      </c>
      <c r="AA25" s="11">
        <f t="shared" si="0"/>
        <v>17.11</v>
      </c>
    </row>
    <row r="26" spans="1:27" ht="20" customHeight="1" x14ac:dyDescent="0.2">
      <c r="A26" s="4" t="s">
        <v>205</v>
      </c>
      <c r="B26" s="4" t="s">
        <v>62</v>
      </c>
      <c r="C26" s="4" t="s">
        <v>206</v>
      </c>
      <c r="D26" s="6">
        <v>19</v>
      </c>
      <c r="E26" s="5">
        <v>685</v>
      </c>
      <c r="F26" s="5">
        <v>4</v>
      </c>
      <c r="G26" s="6">
        <v>3.85</v>
      </c>
      <c r="H26" s="5">
        <v>1</v>
      </c>
      <c r="I26" s="6">
        <v>1.51</v>
      </c>
      <c r="J26" s="6">
        <v>50</v>
      </c>
      <c r="K26" s="6">
        <v>0.53</v>
      </c>
      <c r="L26" s="6">
        <v>0.51</v>
      </c>
      <c r="M26" s="6">
        <v>2.63</v>
      </c>
      <c r="N26" s="6">
        <v>40</v>
      </c>
      <c r="O26" s="6">
        <v>0.2</v>
      </c>
      <c r="P26" s="6">
        <v>1.31</v>
      </c>
      <c r="Q26" s="6">
        <v>30</v>
      </c>
      <c r="R26" s="6">
        <v>2.89</v>
      </c>
      <c r="S26" s="6">
        <v>68.180000000000007</v>
      </c>
      <c r="T26" s="6">
        <v>3.15</v>
      </c>
      <c r="U26" s="6">
        <v>1.05</v>
      </c>
      <c r="V26" s="6">
        <v>0.53</v>
      </c>
      <c r="W26" s="6">
        <v>3.55</v>
      </c>
      <c r="X26" s="6">
        <v>51.85</v>
      </c>
      <c r="Y26" s="6">
        <v>0.92</v>
      </c>
      <c r="Z26" s="6">
        <v>55.17</v>
      </c>
      <c r="AA26" s="7">
        <f t="shared" si="0"/>
        <v>41.57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6"/>
  <sheetViews>
    <sheetView workbookViewId="0"/>
  </sheetViews>
  <sheetFormatPr baseColWidth="10" defaultColWidth="8.83203125" defaultRowHeight="15" x14ac:dyDescent="0.2"/>
  <cols>
    <col min="1" max="1" width="115" customWidth="1"/>
    <col min="2" max="2" width="18" customWidth="1"/>
    <col min="3" max="3" width="16" customWidth="1"/>
    <col min="4" max="4" width="12" customWidth="1"/>
    <col min="5" max="5" width="20" customWidth="1"/>
    <col min="6" max="6" width="18" customWidth="1"/>
    <col min="7" max="8" width="12" customWidth="1"/>
    <col min="9" max="9" width="26" customWidth="1"/>
    <col min="10" max="10" width="23" customWidth="1"/>
    <col min="11" max="11" width="16" customWidth="1"/>
    <col min="12" max="12" width="28" customWidth="1"/>
    <col min="13" max="13" width="13" customWidth="1"/>
    <col min="14" max="14" width="16" customWidth="1"/>
    <col min="15" max="16" width="22" customWidth="1"/>
    <col min="17" max="17" width="18" customWidth="1"/>
    <col min="18" max="18" width="13" customWidth="1"/>
    <col min="19" max="19" width="26" customWidth="1"/>
    <col min="20" max="20" width="25" customWidth="1"/>
    <col min="21" max="21" width="27" customWidth="1"/>
    <col min="22" max="22" width="31" customWidth="1"/>
    <col min="23" max="23" width="25" customWidth="1"/>
    <col min="24" max="24" width="63" customWidth="1"/>
  </cols>
  <sheetData>
    <row r="1" spans="1:24" ht="19" x14ac:dyDescent="0.25">
      <c r="A1" s="1" t="s">
        <v>207</v>
      </c>
    </row>
    <row r="2" spans="1:24" x14ac:dyDescent="0.2">
      <c r="A2" s="2" t="s">
        <v>1</v>
      </c>
    </row>
    <row r="3" spans="1:24" ht="24" customHeight="1" x14ac:dyDescent="0.2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111</v>
      </c>
      <c r="H3" s="3" t="s">
        <v>158</v>
      </c>
      <c r="I3" s="3" t="s">
        <v>11</v>
      </c>
      <c r="J3" s="3" t="s">
        <v>13</v>
      </c>
      <c r="K3" s="3" t="s">
        <v>208</v>
      </c>
      <c r="L3" s="3" t="s">
        <v>112</v>
      </c>
      <c r="M3" s="3" t="s">
        <v>159</v>
      </c>
      <c r="N3" s="3" t="s">
        <v>160</v>
      </c>
      <c r="O3" s="3" t="s">
        <v>161</v>
      </c>
      <c r="P3" s="3" t="s">
        <v>209</v>
      </c>
      <c r="Q3" s="3" t="s">
        <v>113</v>
      </c>
      <c r="R3" s="3" t="s">
        <v>78</v>
      </c>
      <c r="S3" s="3" t="s">
        <v>114</v>
      </c>
      <c r="T3" s="3" t="s">
        <v>162</v>
      </c>
      <c r="U3" s="3" t="s">
        <v>83</v>
      </c>
      <c r="V3" s="3" t="s">
        <v>210</v>
      </c>
      <c r="W3" s="3" t="s">
        <v>116</v>
      </c>
      <c r="X3" s="3" t="s">
        <v>25</v>
      </c>
    </row>
    <row r="4" spans="1:24" ht="20" customHeight="1" x14ac:dyDescent="0.2">
      <c r="A4" s="4" t="s">
        <v>211</v>
      </c>
      <c r="B4" s="4" t="s">
        <v>27</v>
      </c>
      <c r="C4" s="4" t="s">
        <v>212</v>
      </c>
      <c r="D4" s="5">
        <v>26</v>
      </c>
      <c r="E4" s="4" t="s">
        <v>29</v>
      </c>
      <c r="F4" s="5">
        <v>6893</v>
      </c>
      <c r="G4" s="5">
        <v>20</v>
      </c>
      <c r="H4" s="6">
        <v>21.42</v>
      </c>
      <c r="I4" s="6">
        <v>50.31</v>
      </c>
      <c r="J4" s="6">
        <v>33.479999999999997</v>
      </c>
      <c r="K4" s="6">
        <v>0.26</v>
      </c>
      <c r="L4" s="6">
        <v>0.21</v>
      </c>
      <c r="M4" s="6">
        <v>0.28000000000000003</v>
      </c>
      <c r="N4" s="6">
        <v>1.85</v>
      </c>
      <c r="O4" s="6">
        <v>37.32</v>
      </c>
      <c r="P4" s="6">
        <v>14.085000000000001</v>
      </c>
      <c r="Q4" s="6">
        <v>7.0000000000000007E-2</v>
      </c>
      <c r="R4" s="6">
        <v>7.0000000000000007E-2</v>
      </c>
      <c r="S4" s="6">
        <v>28.83</v>
      </c>
      <c r="T4" s="6">
        <v>4.26</v>
      </c>
      <c r="U4" s="6">
        <v>0.9</v>
      </c>
      <c r="V4" s="6">
        <v>3.53</v>
      </c>
      <c r="W4" s="6">
        <v>1.78</v>
      </c>
      <c r="X4" s="7">
        <f t="shared" ref="X4:X16" si="0">ROUND((P4*0.3)+(M4*15)+(J4*0.2)+(G4*3)+(T4*1.5), 2)</f>
        <v>81.510000000000005</v>
      </c>
    </row>
    <row r="5" spans="1:24" ht="20" customHeight="1" x14ac:dyDescent="0.2">
      <c r="A5" s="8" t="s">
        <v>213</v>
      </c>
      <c r="B5" s="8" t="s">
        <v>124</v>
      </c>
      <c r="C5" s="8" t="s">
        <v>214</v>
      </c>
      <c r="D5" s="9">
        <v>21</v>
      </c>
      <c r="E5" s="8" t="s">
        <v>215</v>
      </c>
      <c r="F5" s="9">
        <v>6613</v>
      </c>
      <c r="G5" s="9">
        <v>17</v>
      </c>
      <c r="H5" s="10">
        <v>20.12</v>
      </c>
      <c r="I5" s="10">
        <v>56.63</v>
      </c>
      <c r="J5" s="10">
        <v>42.92</v>
      </c>
      <c r="K5" s="10">
        <v>0.23</v>
      </c>
      <c r="L5" s="10">
        <v>0.22</v>
      </c>
      <c r="M5" s="10">
        <v>0.27</v>
      </c>
      <c r="N5" s="10">
        <v>2.4500000000000002</v>
      </c>
      <c r="O5" s="10">
        <v>36.11</v>
      </c>
      <c r="P5" s="10">
        <v>9.4440000000000008</v>
      </c>
      <c r="Q5" s="10">
        <v>0.05</v>
      </c>
      <c r="R5" s="10">
        <v>0.06</v>
      </c>
      <c r="S5" s="10">
        <v>30.95</v>
      </c>
      <c r="T5" s="10">
        <v>3.12</v>
      </c>
      <c r="U5" s="10">
        <v>1.24</v>
      </c>
      <c r="V5" s="10">
        <v>2.33</v>
      </c>
      <c r="W5" s="10">
        <v>1.35</v>
      </c>
      <c r="X5" s="11">
        <f t="shared" si="0"/>
        <v>71.150000000000006</v>
      </c>
    </row>
    <row r="6" spans="1:24" ht="20" customHeight="1" x14ac:dyDescent="0.2">
      <c r="A6" s="4" t="s">
        <v>216</v>
      </c>
      <c r="B6" s="4" t="s">
        <v>37</v>
      </c>
      <c r="C6" s="4" t="s">
        <v>212</v>
      </c>
      <c r="D6" s="5">
        <v>22</v>
      </c>
      <c r="E6" s="4" t="s">
        <v>35</v>
      </c>
      <c r="F6" s="5">
        <v>5444</v>
      </c>
      <c r="G6" s="5">
        <v>20</v>
      </c>
      <c r="H6" s="6">
        <v>18.440000000000001</v>
      </c>
      <c r="I6" s="6">
        <v>60.91</v>
      </c>
      <c r="J6" s="6">
        <v>36.56</v>
      </c>
      <c r="K6" s="6">
        <v>0.33</v>
      </c>
      <c r="L6" s="6">
        <v>0.28000000000000003</v>
      </c>
      <c r="M6" s="6">
        <v>0.3</v>
      </c>
      <c r="N6" s="6">
        <v>1.9</v>
      </c>
      <c r="O6" s="6">
        <v>43.48</v>
      </c>
      <c r="P6" s="6">
        <v>17.390999999999998</v>
      </c>
      <c r="Q6" s="6">
        <v>7.0000000000000007E-2</v>
      </c>
      <c r="R6" s="6">
        <v>0.08</v>
      </c>
      <c r="S6" s="6">
        <v>30.89</v>
      </c>
      <c r="T6" s="6">
        <v>3.07</v>
      </c>
      <c r="U6" s="6">
        <v>1.55</v>
      </c>
      <c r="V6" s="6">
        <v>3.04</v>
      </c>
      <c r="W6" s="6">
        <v>0.88</v>
      </c>
      <c r="X6" s="7">
        <f t="shared" si="0"/>
        <v>81.63</v>
      </c>
    </row>
    <row r="7" spans="1:24" ht="20" customHeight="1" x14ac:dyDescent="0.2">
      <c r="A7" s="8" t="s">
        <v>217</v>
      </c>
      <c r="B7" s="8" t="s">
        <v>62</v>
      </c>
      <c r="C7" s="8" t="s">
        <v>214</v>
      </c>
      <c r="D7" s="9">
        <v>21</v>
      </c>
      <c r="E7" s="8" t="s">
        <v>35</v>
      </c>
      <c r="F7" s="9">
        <v>4703</v>
      </c>
      <c r="G7" s="9">
        <v>15</v>
      </c>
      <c r="H7" s="10">
        <v>12.15</v>
      </c>
      <c r="I7" s="10">
        <v>64.790000000000006</v>
      </c>
      <c r="J7" s="10">
        <v>29.61</v>
      </c>
      <c r="K7" s="10">
        <v>0.28999999999999998</v>
      </c>
      <c r="L7" s="10">
        <v>0.28999999999999998</v>
      </c>
      <c r="M7" s="10">
        <v>0.23</v>
      </c>
      <c r="N7" s="10">
        <v>1.55</v>
      </c>
      <c r="O7" s="10">
        <v>49.38</v>
      </c>
      <c r="P7" s="10">
        <v>18.518999999999998</v>
      </c>
      <c r="Q7" s="10">
        <v>0.15</v>
      </c>
      <c r="R7" s="10">
        <v>0.1</v>
      </c>
      <c r="S7" s="10">
        <v>25.53</v>
      </c>
      <c r="T7" s="10">
        <v>3.29</v>
      </c>
      <c r="U7" s="10">
        <v>0.21</v>
      </c>
      <c r="V7" s="10">
        <v>3.18</v>
      </c>
      <c r="W7" s="10">
        <v>0.82</v>
      </c>
      <c r="X7" s="11">
        <f t="shared" si="0"/>
        <v>64.86</v>
      </c>
    </row>
    <row r="8" spans="1:24" ht="20" customHeight="1" x14ac:dyDescent="0.2">
      <c r="A8" s="4" t="s">
        <v>218</v>
      </c>
      <c r="B8" s="4" t="s">
        <v>119</v>
      </c>
      <c r="C8" s="4" t="s">
        <v>212</v>
      </c>
      <c r="D8" s="5">
        <v>18</v>
      </c>
      <c r="E8" s="6"/>
      <c r="F8" s="5">
        <v>3929</v>
      </c>
      <c r="G8" s="5">
        <v>22</v>
      </c>
      <c r="H8" s="6">
        <v>24.34</v>
      </c>
      <c r="I8" s="6">
        <v>51.22</v>
      </c>
      <c r="J8" s="6">
        <v>28.46</v>
      </c>
      <c r="K8" s="6">
        <v>0.5</v>
      </c>
      <c r="L8" s="6">
        <v>0.44</v>
      </c>
      <c r="M8" s="6">
        <v>0.56000000000000005</v>
      </c>
      <c r="N8" s="6">
        <v>2.27</v>
      </c>
      <c r="O8" s="6">
        <v>60.61</v>
      </c>
      <c r="P8" s="6">
        <v>22.222000000000001</v>
      </c>
      <c r="Q8" s="6">
        <v>0.16</v>
      </c>
      <c r="R8" s="6">
        <v>0.14000000000000001</v>
      </c>
      <c r="S8" s="6">
        <v>32.89</v>
      </c>
      <c r="T8" s="6">
        <v>4.51</v>
      </c>
      <c r="U8" s="6">
        <v>0.64</v>
      </c>
      <c r="V8" s="6">
        <v>2.41</v>
      </c>
      <c r="W8" s="6">
        <v>1.37</v>
      </c>
      <c r="X8" s="7">
        <f t="shared" si="0"/>
        <v>93.52</v>
      </c>
    </row>
    <row r="9" spans="1:24" ht="20" customHeight="1" x14ac:dyDescent="0.2">
      <c r="A9" s="8" t="s">
        <v>219</v>
      </c>
      <c r="B9" s="8" t="s">
        <v>55</v>
      </c>
      <c r="C9" s="8" t="s">
        <v>212</v>
      </c>
      <c r="D9" s="9">
        <v>31</v>
      </c>
      <c r="E9" s="8" t="s">
        <v>29</v>
      </c>
      <c r="F9" s="9">
        <v>3670</v>
      </c>
      <c r="G9" s="9">
        <v>23</v>
      </c>
      <c r="H9" s="10">
        <v>22.89</v>
      </c>
      <c r="I9" s="10">
        <v>46.91</v>
      </c>
      <c r="J9" s="10">
        <v>42.01</v>
      </c>
      <c r="K9" s="10">
        <v>0.56000000000000005</v>
      </c>
      <c r="L9" s="10">
        <v>0.44</v>
      </c>
      <c r="M9" s="10">
        <v>0.56000000000000005</v>
      </c>
      <c r="N9" s="10">
        <v>2.65</v>
      </c>
      <c r="O9" s="10">
        <v>46.3</v>
      </c>
      <c r="P9" s="10">
        <v>21.295999999999999</v>
      </c>
      <c r="Q9" s="10">
        <v>0.1</v>
      </c>
      <c r="R9" s="10">
        <v>0.1</v>
      </c>
      <c r="S9" s="10">
        <v>31.28</v>
      </c>
      <c r="T9" s="10">
        <v>4.4400000000000004</v>
      </c>
      <c r="U9" s="10">
        <v>0.64</v>
      </c>
      <c r="V9" s="10">
        <v>1.96</v>
      </c>
      <c r="W9" s="10">
        <v>0.76</v>
      </c>
      <c r="X9" s="11">
        <f t="shared" si="0"/>
        <v>98.85</v>
      </c>
    </row>
    <row r="10" spans="1:24" ht="20" customHeight="1" x14ac:dyDescent="0.2">
      <c r="A10" s="4" t="s">
        <v>220</v>
      </c>
      <c r="B10" s="4" t="s">
        <v>31</v>
      </c>
      <c r="C10" s="4" t="s">
        <v>212</v>
      </c>
      <c r="D10" s="5">
        <v>21</v>
      </c>
      <c r="E10" s="6"/>
      <c r="F10" s="5">
        <v>3165</v>
      </c>
      <c r="G10" s="5">
        <v>13</v>
      </c>
      <c r="H10" s="6">
        <v>13.27</v>
      </c>
      <c r="I10" s="6">
        <v>50</v>
      </c>
      <c r="J10" s="6">
        <v>36.75</v>
      </c>
      <c r="K10" s="6">
        <v>0.37</v>
      </c>
      <c r="L10" s="6">
        <v>0.37</v>
      </c>
      <c r="M10" s="6">
        <v>0.38</v>
      </c>
      <c r="N10" s="6">
        <v>2.02</v>
      </c>
      <c r="O10" s="6">
        <v>49.3</v>
      </c>
      <c r="P10" s="6">
        <v>18.309999999999999</v>
      </c>
      <c r="Q10" s="6">
        <v>0.11</v>
      </c>
      <c r="R10" s="6">
        <v>0.04</v>
      </c>
      <c r="S10" s="6">
        <v>26.28</v>
      </c>
      <c r="T10" s="6">
        <v>3.61</v>
      </c>
      <c r="U10" s="6">
        <v>0.65</v>
      </c>
      <c r="V10" s="6">
        <v>1.93</v>
      </c>
      <c r="W10" s="6">
        <v>1.36</v>
      </c>
      <c r="X10" s="7">
        <f t="shared" si="0"/>
        <v>62.96</v>
      </c>
    </row>
    <row r="11" spans="1:24" ht="20" customHeight="1" x14ac:dyDescent="0.2">
      <c r="A11" s="8" t="s">
        <v>221</v>
      </c>
      <c r="B11" s="8" t="s">
        <v>48</v>
      </c>
      <c r="C11" s="8" t="s">
        <v>222</v>
      </c>
      <c r="D11" s="9">
        <v>24</v>
      </c>
      <c r="E11" s="10"/>
      <c r="F11" s="9">
        <v>2588</v>
      </c>
      <c r="G11" s="9">
        <v>5</v>
      </c>
      <c r="H11" s="10">
        <v>9.59</v>
      </c>
      <c r="I11" s="10">
        <v>63.31</v>
      </c>
      <c r="J11" s="10">
        <v>35.56</v>
      </c>
      <c r="K11" s="10">
        <v>0.17</v>
      </c>
      <c r="L11" s="10">
        <v>0.17</v>
      </c>
      <c r="M11" s="10">
        <v>0.33</v>
      </c>
      <c r="N11" s="10">
        <v>2.89</v>
      </c>
      <c r="O11" s="10">
        <v>37.35</v>
      </c>
      <c r="P11" s="10">
        <v>6.024</v>
      </c>
      <c r="Q11" s="10">
        <v>0</v>
      </c>
      <c r="R11" s="10">
        <v>0.05</v>
      </c>
      <c r="S11" s="10">
        <v>36.97</v>
      </c>
      <c r="T11" s="10">
        <v>3.44</v>
      </c>
      <c r="U11" s="10">
        <v>2.61</v>
      </c>
      <c r="V11" s="10">
        <v>2.61</v>
      </c>
      <c r="W11" s="10">
        <v>1.25</v>
      </c>
      <c r="X11" s="11">
        <f t="shared" si="0"/>
        <v>34.03</v>
      </c>
    </row>
    <row r="12" spans="1:24" ht="20" customHeight="1" x14ac:dyDescent="0.2">
      <c r="A12" s="4" t="s">
        <v>184</v>
      </c>
      <c r="B12" s="4" t="s">
        <v>62</v>
      </c>
      <c r="C12" s="4" t="s">
        <v>185</v>
      </c>
      <c r="D12" s="5">
        <v>22</v>
      </c>
      <c r="E12" s="6"/>
      <c r="F12" s="5">
        <v>2519</v>
      </c>
      <c r="G12" s="5">
        <v>15</v>
      </c>
      <c r="H12" s="6">
        <v>9.08</v>
      </c>
      <c r="I12" s="6">
        <v>55.8</v>
      </c>
      <c r="J12" s="6">
        <v>39.380000000000003</v>
      </c>
      <c r="K12" s="6">
        <v>0.54</v>
      </c>
      <c r="L12" s="6">
        <v>0.54</v>
      </c>
      <c r="M12" s="6">
        <v>0.32</v>
      </c>
      <c r="N12" s="6">
        <v>1.93</v>
      </c>
      <c r="O12" s="6">
        <v>48.15</v>
      </c>
      <c r="P12" s="6">
        <v>27.777999999999999</v>
      </c>
      <c r="Q12" s="6">
        <v>0.14000000000000001</v>
      </c>
      <c r="R12" s="6">
        <v>0.06</v>
      </c>
      <c r="S12" s="6">
        <v>30.03</v>
      </c>
      <c r="T12" s="6">
        <v>3.14</v>
      </c>
      <c r="U12" s="6">
        <v>1.43</v>
      </c>
      <c r="V12" s="6">
        <v>2.29</v>
      </c>
      <c r="W12" s="6">
        <v>0.54</v>
      </c>
      <c r="X12" s="7">
        <f t="shared" si="0"/>
        <v>70.72</v>
      </c>
    </row>
    <row r="13" spans="1:24" ht="20" customHeight="1" x14ac:dyDescent="0.2">
      <c r="A13" s="8" t="s">
        <v>223</v>
      </c>
      <c r="B13" s="8" t="s">
        <v>224</v>
      </c>
      <c r="C13" s="8" t="s">
        <v>212</v>
      </c>
      <c r="D13" s="9">
        <v>18</v>
      </c>
      <c r="E13" s="8" t="s">
        <v>35</v>
      </c>
      <c r="F13" s="9">
        <v>1973</v>
      </c>
      <c r="G13" s="9">
        <v>7</v>
      </c>
      <c r="H13" s="10">
        <v>7.64</v>
      </c>
      <c r="I13" s="10">
        <v>69.739999999999995</v>
      </c>
      <c r="J13" s="10">
        <v>27.66</v>
      </c>
      <c r="K13" s="10">
        <v>0.32</v>
      </c>
      <c r="L13" s="10">
        <v>0.32</v>
      </c>
      <c r="M13" s="10">
        <v>0.35</v>
      </c>
      <c r="N13" s="10">
        <v>2.19</v>
      </c>
      <c r="O13" s="10">
        <v>45.83</v>
      </c>
      <c r="P13" s="10">
        <v>14.583</v>
      </c>
      <c r="Q13" s="10">
        <v>0</v>
      </c>
      <c r="R13" s="10">
        <v>7.0000000000000007E-2</v>
      </c>
      <c r="S13" s="10">
        <v>40.5</v>
      </c>
      <c r="T13" s="10">
        <v>4.0599999999999996</v>
      </c>
      <c r="U13" s="10">
        <v>1.1399999999999999</v>
      </c>
      <c r="V13" s="10">
        <v>2.33</v>
      </c>
      <c r="W13" s="10">
        <v>2.37</v>
      </c>
      <c r="X13" s="11">
        <f t="shared" si="0"/>
        <v>42.25</v>
      </c>
    </row>
    <row r="14" spans="1:24" ht="20" customHeight="1" x14ac:dyDescent="0.2">
      <c r="A14" s="4" t="s">
        <v>225</v>
      </c>
      <c r="B14" s="4" t="s">
        <v>37</v>
      </c>
      <c r="C14" s="4" t="s">
        <v>212</v>
      </c>
      <c r="D14" s="5">
        <v>20</v>
      </c>
      <c r="E14" s="4" t="s">
        <v>35</v>
      </c>
      <c r="F14" s="5">
        <v>1891</v>
      </c>
      <c r="G14" s="5">
        <v>5</v>
      </c>
      <c r="H14" s="6">
        <v>5.51</v>
      </c>
      <c r="I14" s="6">
        <v>49.38</v>
      </c>
      <c r="J14" s="6">
        <v>32.090000000000003</v>
      </c>
      <c r="K14" s="6">
        <v>0.24</v>
      </c>
      <c r="L14" s="6">
        <v>0.24</v>
      </c>
      <c r="M14" s="6">
        <v>0.26</v>
      </c>
      <c r="N14" s="6">
        <v>1.81</v>
      </c>
      <c r="O14" s="6">
        <v>44.74</v>
      </c>
      <c r="P14" s="6">
        <v>13.157999999999999</v>
      </c>
      <c r="Q14" s="6">
        <v>0.05</v>
      </c>
      <c r="R14" s="6">
        <v>0.04</v>
      </c>
      <c r="S14" s="6">
        <v>25.1</v>
      </c>
      <c r="T14" s="6">
        <v>3.33</v>
      </c>
      <c r="U14" s="6">
        <v>0.67</v>
      </c>
      <c r="V14" s="6">
        <v>1.57</v>
      </c>
      <c r="W14" s="6">
        <v>1.29</v>
      </c>
      <c r="X14" s="7">
        <f t="shared" si="0"/>
        <v>34.26</v>
      </c>
    </row>
    <row r="15" spans="1:24" ht="20" customHeight="1" x14ac:dyDescent="0.2">
      <c r="A15" s="8" t="s">
        <v>226</v>
      </c>
      <c r="B15" s="8" t="s">
        <v>45</v>
      </c>
      <c r="C15" s="8" t="s">
        <v>212</v>
      </c>
      <c r="D15" s="9">
        <v>19</v>
      </c>
      <c r="E15" s="8" t="s">
        <v>29</v>
      </c>
      <c r="F15" s="9">
        <v>1581</v>
      </c>
      <c r="G15" s="9">
        <v>6</v>
      </c>
      <c r="H15" s="10">
        <v>10.41</v>
      </c>
      <c r="I15" s="10">
        <v>39.659999999999997</v>
      </c>
      <c r="J15" s="10">
        <v>53.06</v>
      </c>
      <c r="K15" s="10">
        <v>0.34</v>
      </c>
      <c r="L15" s="10">
        <v>0.34</v>
      </c>
      <c r="M15" s="10">
        <v>0.59</v>
      </c>
      <c r="N15" s="10">
        <v>3.53</v>
      </c>
      <c r="O15" s="10">
        <v>25.81</v>
      </c>
      <c r="P15" s="10">
        <v>9.6769999999999996</v>
      </c>
      <c r="Q15" s="10">
        <v>0.06</v>
      </c>
      <c r="R15" s="10">
        <v>0.11</v>
      </c>
      <c r="S15" s="10">
        <v>36.69</v>
      </c>
      <c r="T15" s="10">
        <v>5.07</v>
      </c>
      <c r="U15" s="10">
        <v>1.2</v>
      </c>
      <c r="V15" s="10">
        <v>2.16</v>
      </c>
      <c r="W15" s="10">
        <v>0.68</v>
      </c>
      <c r="X15" s="11">
        <f t="shared" si="0"/>
        <v>47.97</v>
      </c>
    </row>
    <row r="16" spans="1:24" ht="20" customHeight="1" x14ac:dyDescent="0.2">
      <c r="A16" s="4" t="s">
        <v>227</v>
      </c>
      <c r="B16" s="4" t="s">
        <v>27</v>
      </c>
      <c r="C16" s="4" t="s">
        <v>212</v>
      </c>
      <c r="D16" s="5">
        <v>25</v>
      </c>
      <c r="E16" s="6"/>
      <c r="F16" s="5">
        <v>1349</v>
      </c>
      <c r="G16" s="5">
        <v>6</v>
      </c>
      <c r="H16" s="6">
        <v>6.32</v>
      </c>
      <c r="I16" s="6">
        <v>54.29</v>
      </c>
      <c r="J16" s="6">
        <v>34.11</v>
      </c>
      <c r="K16" s="6">
        <v>0.4</v>
      </c>
      <c r="L16" s="6">
        <v>0.4</v>
      </c>
      <c r="M16" s="6">
        <v>0.42</v>
      </c>
      <c r="N16" s="6">
        <v>1.53</v>
      </c>
      <c r="O16" s="6">
        <v>47.83</v>
      </c>
      <c r="P16" s="6">
        <v>26.087</v>
      </c>
      <c r="Q16" s="6">
        <v>7.0000000000000007E-2</v>
      </c>
      <c r="R16" s="6">
        <v>0.09</v>
      </c>
      <c r="S16" s="6">
        <v>27.27</v>
      </c>
      <c r="T16" s="6">
        <v>2.6</v>
      </c>
      <c r="U16" s="6">
        <v>0.6</v>
      </c>
      <c r="V16" s="6">
        <v>2.34</v>
      </c>
      <c r="W16" s="6">
        <v>1.33</v>
      </c>
      <c r="X16" s="7">
        <f t="shared" si="0"/>
        <v>42.85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15"/>
  <sheetViews>
    <sheetView workbookViewId="0"/>
  </sheetViews>
  <sheetFormatPr baseColWidth="10" defaultColWidth="8.83203125" defaultRowHeight="15" x14ac:dyDescent="0.2"/>
  <cols>
    <col min="1" max="1" width="115" customWidth="1"/>
    <col min="2" max="2" width="12" customWidth="1"/>
    <col min="3" max="3" width="18" customWidth="1"/>
    <col min="4" max="5" width="23" customWidth="1"/>
    <col min="6" max="6" width="17" customWidth="1"/>
    <col min="7" max="7" width="22" customWidth="1"/>
    <col min="8" max="8" width="27" customWidth="1"/>
    <col min="9" max="9" width="29" customWidth="1"/>
    <col min="10" max="10" width="18" customWidth="1"/>
    <col min="11" max="11" width="25" customWidth="1"/>
    <col min="12" max="12" width="17" customWidth="1"/>
    <col min="13" max="13" width="24" customWidth="1"/>
    <col min="14" max="15" width="16" customWidth="1"/>
    <col min="16" max="16" width="14" customWidth="1"/>
    <col min="17" max="17" width="21" customWidth="1"/>
    <col min="18" max="18" width="19" customWidth="1"/>
    <col min="19" max="19" width="26" customWidth="1"/>
    <col min="20" max="20" width="53" customWidth="1"/>
  </cols>
  <sheetData>
    <row r="1" spans="1:20" ht="19" x14ac:dyDescent="0.25">
      <c r="A1" s="1" t="s">
        <v>228</v>
      </c>
    </row>
    <row r="2" spans="1:20" x14ac:dyDescent="0.2">
      <c r="A2" s="2" t="s">
        <v>1</v>
      </c>
    </row>
    <row r="3" spans="1:20" ht="24" customHeight="1" x14ac:dyDescent="0.2">
      <c r="A3" s="3" t="s">
        <v>2</v>
      </c>
      <c r="B3" s="3" t="s">
        <v>5</v>
      </c>
      <c r="C3" s="3" t="s">
        <v>7</v>
      </c>
      <c r="D3" s="3" t="s">
        <v>12</v>
      </c>
      <c r="E3" s="3" t="s">
        <v>13</v>
      </c>
      <c r="F3" s="3" t="s">
        <v>117</v>
      </c>
      <c r="G3" s="3" t="s">
        <v>19</v>
      </c>
      <c r="H3" s="3" t="s">
        <v>22</v>
      </c>
      <c r="I3" s="3" t="s">
        <v>23</v>
      </c>
      <c r="J3" s="3" t="s">
        <v>229</v>
      </c>
      <c r="K3" s="3" t="s">
        <v>230</v>
      </c>
      <c r="L3" s="3" t="s">
        <v>231</v>
      </c>
      <c r="M3" s="3" t="s">
        <v>232</v>
      </c>
      <c r="N3" s="3" t="s">
        <v>233</v>
      </c>
      <c r="O3" s="3" t="s">
        <v>234</v>
      </c>
      <c r="P3" s="3" t="s">
        <v>235</v>
      </c>
      <c r="Q3" s="3" t="s">
        <v>236</v>
      </c>
      <c r="R3" s="3" t="s">
        <v>237</v>
      </c>
      <c r="S3" s="3" t="s">
        <v>238</v>
      </c>
      <c r="T3" s="3" t="s">
        <v>25</v>
      </c>
    </row>
    <row r="4" spans="1:20" ht="20" customHeight="1" x14ac:dyDescent="0.2">
      <c r="A4" s="4" t="s">
        <v>239</v>
      </c>
      <c r="B4" s="5">
        <v>25</v>
      </c>
      <c r="C4" s="5">
        <v>6985</v>
      </c>
      <c r="D4" s="6">
        <v>0.44</v>
      </c>
      <c r="E4" s="6">
        <v>70.59</v>
      </c>
      <c r="F4" s="6">
        <v>18.23</v>
      </c>
      <c r="G4" s="6">
        <v>75.97</v>
      </c>
      <c r="H4" s="6">
        <v>59.1</v>
      </c>
      <c r="I4" s="6">
        <v>6.88</v>
      </c>
      <c r="J4" s="5">
        <v>90</v>
      </c>
      <c r="K4" s="6">
        <v>1.1599999999999999</v>
      </c>
      <c r="L4" s="5">
        <v>328</v>
      </c>
      <c r="M4" s="6">
        <v>4.2300000000000004</v>
      </c>
      <c r="N4" s="5">
        <v>21</v>
      </c>
      <c r="O4" s="6">
        <v>72.56</v>
      </c>
      <c r="P4" s="6">
        <v>99.84</v>
      </c>
      <c r="Q4" s="6">
        <v>1.29</v>
      </c>
      <c r="R4" s="6">
        <v>9.84</v>
      </c>
      <c r="S4" s="6">
        <v>0.127</v>
      </c>
      <c r="T4" s="7">
        <f t="shared" ref="T4:T15" si="0">ROUND((O4*0.4)+(H4*0.3)+(S4*15)+(N4*2), 2)</f>
        <v>90.66</v>
      </c>
    </row>
    <row r="5" spans="1:20" ht="20" customHeight="1" x14ac:dyDescent="0.2">
      <c r="A5" s="8" t="s">
        <v>240</v>
      </c>
      <c r="B5" s="9">
        <v>24</v>
      </c>
      <c r="C5" s="9">
        <v>6276</v>
      </c>
      <c r="D5" s="10">
        <v>0.77</v>
      </c>
      <c r="E5" s="10">
        <v>85.19</v>
      </c>
      <c r="F5" s="10">
        <v>17.25</v>
      </c>
      <c r="G5" s="10">
        <v>80.88</v>
      </c>
      <c r="H5" s="10">
        <v>60.44</v>
      </c>
      <c r="I5" s="10">
        <v>5.35</v>
      </c>
      <c r="J5" s="9">
        <v>89</v>
      </c>
      <c r="K5" s="10">
        <v>1.28</v>
      </c>
      <c r="L5" s="9">
        <v>280</v>
      </c>
      <c r="M5" s="10">
        <v>4.0199999999999996</v>
      </c>
      <c r="N5" s="9">
        <v>18</v>
      </c>
      <c r="O5" s="10">
        <v>68.209999999999994</v>
      </c>
      <c r="P5" s="10">
        <v>82.8</v>
      </c>
      <c r="Q5" s="10">
        <v>1.19</v>
      </c>
      <c r="R5" s="10">
        <v>-6.2</v>
      </c>
      <c r="S5" s="10">
        <v>-8.8999999999999996E-2</v>
      </c>
      <c r="T5" s="11">
        <f t="shared" si="0"/>
        <v>80.08</v>
      </c>
    </row>
    <row r="6" spans="1:20" ht="20" customHeight="1" x14ac:dyDescent="0.2">
      <c r="A6" s="4" t="s">
        <v>241</v>
      </c>
      <c r="B6" s="5">
        <v>21</v>
      </c>
      <c r="C6" s="5">
        <v>5938</v>
      </c>
      <c r="D6" s="6">
        <v>0.41</v>
      </c>
      <c r="E6" s="6">
        <v>92.59</v>
      </c>
      <c r="F6" s="6">
        <v>26.42</v>
      </c>
      <c r="G6" s="6">
        <v>90.25</v>
      </c>
      <c r="H6" s="6">
        <v>59.18</v>
      </c>
      <c r="I6" s="6">
        <v>3.94</v>
      </c>
      <c r="J6" s="5">
        <v>80</v>
      </c>
      <c r="K6" s="6">
        <v>1.21</v>
      </c>
      <c r="L6" s="5">
        <v>258</v>
      </c>
      <c r="M6" s="6">
        <v>3.91</v>
      </c>
      <c r="N6" s="5">
        <v>20</v>
      </c>
      <c r="O6" s="6">
        <v>68.989999999999995</v>
      </c>
      <c r="P6" s="6">
        <v>79.06</v>
      </c>
      <c r="Q6" s="6">
        <v>1.2</v>
      </c>
      <c r="R6" s="6">
        <v>-0.94</v>
      </c>
      <c r="S6" s="6">
        <v>-1.4E-2</v>
      </c>
      <c r="T6" s="7">
        <f t="shared" si="0"/>
        <v>85.14</v>
      </c>
    </row>
    <row r="7" spans="1:20" ht="20" customHeight="1" x14ac:dyDescent="0.2">
      <c r="A7" s="8" t="s">
        <v>242</v>
      </c>
      <c r="B7" s="9">
        <v>27</v>
      </c>
      <c r="C7" s="9">
        <v>5599</v>
      </c>
      <c r="D7" s="10">
        <v>0.71</v>
      </c>
      <c r="E7" s="10">
        <v>88.64</v>
      </c>
      <c r="F7" s="10">
        <v>23.55</v>
      </c>
      <c r="G7" s="10">
        <v>86.08</v>
      </c>
      <c r="H7" s="10">
        <v>51.82</v>
      </c>
      <c r="I7" s="10">
        <v>4.68</v>
      </c>
      <c r="J7" s="9">
        <v>82</v>
      </c>
      <c r="K7" s="10">
        <v>1.32</v>
      </c>
      <c r="L7" s="9">
        <v>288</v>
      </c>
      <c r="M7" s="10">
        <v>4.63</v>
      </c>
      <c r="N7" s="9">
        <v>14</v>
      </c>
      <c r="O7" s="10">
        <v>71.53</v>
      </c>
      <c r="P7" s="10">
        <v>89.8</v>
      </c>
      <c r="Q7" s="10">
        <v>1.44</v>
      </c>
      <c r="R7" s="10">
        <v>7.8</v>
      </c>
      <c r="S7" s="10">
        <v>0.125</v>
      </c>
      <c r="T7" s="11">
        <f t="shared" si="0"/>
        <v>74.03</v>
      </c>
    </row>
    <row r="8" spans="1:20" ht="20" customHeight="1" x14ac:dyDescent="0.2">
      <c r="A8" s="4" t="s">
        <v>243</v>
      </c>
      <c r="B8" s="5">
        <v>23</v>
      </c>
      <c r="C8" s="5">
        <v>5218</v>
      </c>
      <c r="D8" s="6">
        <v>0.47</v>
      </c>
      <c r="E8" s="6">
        <v>88.89</v>
      </c>
      <c r="F8" s="6">
        <v>18.82</v>
      </c>
      <c r="G8" s="6">
        <v>73.14</v>
      </c>
      <c r="H8" s="6">
        <v>47.87</v>
      </c>
      <c r="I8" s="6">
        <v>5.83</v>
      </c>
      <c r="J8" s="5">
        <v>69</v>
      </c>
      <c r="K8" s="6">
        <v>1.19</v>
      </c>
      <c r="L8" s="5">
        <v>260</v>
      </c>
      <c r="M8" s="6">
        <v>4.4800000000000004</v>
      </c>
      <c r="N8" s="5">
        <v>13</v>
      </c>
      <c r="O8" s="6">
        <v>73.459999999999994</v>
      </c>
      <c r="P8" s="6">
        <v>76.599999999999994</v>
      </c>
      <c r="Q8" s="6">
        <v>1.32</v>
      </c>
      <c r="R8" s="6">
        <v>7.6</v>
      </c>
      <c r="S8" s="6">
        <v>0.13100000000000001</v>
      </c>
      <c r="T8" s="7">
        <f t="shared" si="0"/>
        <v>71.709999999999994</v>
      </c>
    </row>
    <row r="9" spans="1:20" ht="20" customHeight="1" x14ac:dyDescent="0.2">
      <c r="A9" s="8" t="s">
        <v>244</v>
      </c>
      <c r="B9" s="9">
        <v>29</v>
      </c>
      <c r="C9" s="9">
        <v>5083</v>
      </c>
      <c r="D9" s="10">
        <v>0.41</v>
      </c>
      <c r="E9" s="10">
        <v>82.61</v>
      </c>
      <c r="F9" s="10">
        <v>16.7</v>
      </c>
      <c r="G9" s="10">
        <v>77.52</v>
      </c>
      <c r="H9" s="10">
        <v>62.04</v>
      </c>
      <c r="I9" s="10">
        <v>6.64</v>
      </c>
      <c r="J9" s="9">
        <v>68</v>
      </c>
      <c r="K9" s="10">
        <v>1.2</v>
      </c>
      <c r="L9" s="9">
        <v>248</v>
      </c>
      <c r="M9" s="10">
        <v>4.3899999999999997</v>
      </c>
      <c r="N9" s="9">
        <v>15</v>
      </c>
      <c r="O9" s="10">
        <v>72.58</v>
      </c>
      <c r="P9" s="10">
        <v>66.33</v>
      </c>
      <c r="Q9" s="10">
        <v>1.17</v>
      </c>
      <c r="R9" s="10">
        <v>-1.67</v>
      </c>
      <c r="S9" s="10">
        <v>-0.03</v>
      </c>
      <c r="T9" s="11">
        <f t="shared" si="0"/>
        <v>77.19</v>
      </c>
    </row>
    <row r="10" spans="1:20" ht="20" customHeight="1" x14ac:dyDescent="0.2">
      <c r="A10" s="4" t="s">
        <v>245</v>
      </c>
      <c r="B10" s="5">
        <v>23</v>
      </c>
      <c r="C10" s="5">
        <v>4895</v>
      </c>
      <c r="D10" s="6">
        <v>0.28999999999999998</v>
      </c>
      <c r="E10" s="6">
        <v>93.75</v>
      </c>
      <c r="F10" s="6">
        <v>27.98</v>
      </c>
      <c r="G10" s="6">
        <v>77.14</v>
      </c>
      <c r="H10" s="6">
        <v>51.7</v>
      </c>
      <c r="I10" s="6">
        <v>8.09</v>
      </c>
      <c r="J10" s="5">
        <v>54</v>
      </c>
      <c r="K10" s="6">
        <v>0.99</v>
      </c>
      <c r="L10" s="5">
        <v>215</v>
      </c>
      <c r="M10" s="6">
        <v>3.95</v>
      </c>
      <c r="N10" s="5">
        <v>21</v>
      </c>
      <c r="O10" s="6">
        <v>74.88</v>
      </c>
      <c r="P10" s="6">
        <v>62.24</v>
      </c>
      <c r="Q10" s="6">
        <v>1.1399999999999999</v>
      </c>
      <c r="R10" s="6">
        <v>8.24</v>
      </c>
      <c r="S10" s="6">
        <v>0.152</v>
      </c>
      <c r="T10" s="7">
        <f t="shared" si="0"/>
        <v>89.74</v>
      </c>
    </row>
    <row r="11" spans="1:20" ht="20" customHeight="1" x14ac:dyDescent="0.2">
      <c r="A11" s="8" t="s">
        <v>246</v>
      </c>
      <c r="B11" s="9">
        <v>41</v>
      </c>
      <c r="C11" s="9">
        <v>4720</v>
      </c>
      <c r="D11" s="10">
        <v>0.1</v>
      </c>
      <c r="E11" s="10">
        <v>80</v>
      </c>
      <c r="F11" s="10">
        <v>19.510000000000002</v>
      </c>
      <c r="G11" s="10">
        <v>79.77</v>
      </c>
      <c r="H11" s="10">
        <v>64.37</v>
      </c>
      <c r="I11" s="10">
        <v>7.72</v>
      </c>
      <c r="J11" s="9">
        <v>57</v>
      </c>
      <c r="K11" s="10">
        <v>1.0900000000000001</v>
      </c>
      <c r="L11" s="9">
        <v>182</v>
      </c>
      <c r="M11" s="10">
        <v>3.47</v>
      </c>
      <c r="N11" s="9">
        <v>10</v>
      </c>
      <c r="O11" s="10">
        <v>68.680000000000007</v>
      </c>
      <c r="P11" s="10">
        <v>59.76</v>
      </c>
      <c r="Q11" s="10">
        <v>1.1399999999999999</v>
      </c>
      <c r="R11" s="10">
        <v>2.76</v>
      </c>
      <c r="S11" s="10">
        <v>5.2999999999999999E-2</v>
      </c>
      <c r="T11" s="11">
        <f t="shared" si="0"/>
        <v>67.58</v>
      </c>
    </row>
    <row r="12" spans="1:20" ht="20" customHeight="1" x14ac:dyDescent="0.2">
      <c r="A12" s="4" t="s">
        <v>247</v>
      </c>
      <c r="B12" s="5">
        <v>24</v>
      </c>
      <c r="C12" s="5">
        <v>3508</v>
      </c>
      <c r="D12" s="6">
        <v>0.92</v>
      </c>
      <c r="E12" s="6">
        <v>91.67</v>
      </c>
      <c r="F12" s="6">
        <v>17.809999999999999</v>
      </c>
      <c r="G12" s="6">
        <v>76.08</v>
      </c>
      <c r="H12" s="6">
        <v>55.93</v>
      </c>
      <c r="I12" s="6">
        <v>6.05</v>
      </c>
      <c r="J12" s="5">
        <v>63</v>
      </c>
      <c r="K12" s="6">
        <v>1.62</v>
      </c>
      <c r="L12" s="5">
        <v>213</v>
      </c>
      <c r="M12" s="6">
        <v>5.46</v>
      </c>
      <c r="N12" s="5">
        <v>6</v>
      </c>
      <c r="O12" s="6">
        <v>70.42</v>
      </c>
      <c r="P12" s="6">
        <v>60.84</v>
      </c>
      <c r="Q12" s="6">
        <v>1.56</v>
      </c>
      <c r="R12" s="6">
        <v>-2.16</v>
      </c>
      <c r="S12" s="6">
        <v>-5.5E-2</v>
      </c>
      <c r="T12" s="7">
        <f t="shared" si="0"/>
        <v>56.12</v>
      </c>
    </row>
    <row r="13" spans="1:20" ht="20" customHeight="1" x14ac:dyDescent="0.2">
      <c r="A13" s="8" t="s">
        <v>248</v>
      </c>
      <c r="B13" s="9">
        <v>29</v>
      </c>
      <c r="C13" s="9">
        <v>3390</v>
      </c>
      <c r="D13" s="10">
        <v>0.35</v>
      </c>
      <c r="E13" s="10">
        <v>100</v>
      </c>
      <c r="F13" s="10">
        <v>17.579999999999998</v>
      </c>
      <c r="G13" s="10">
        <v>72.36</v>
      </c>
      <c r="H13" s="10">
        <v>51.72</v>
      </c>
      <c r="I13" s="10">
        <v>6.08</v>
      </c>
      <c r="J13" s="9">
        <v>49</v>
      </c>
      <c r="K13" s="10">
        <v>1.3</v>
      </c>
      <c r="L13" s="9">
        <v>164</v>
      </c>
      <c r="M13" s="10">
        <v>4.3499999999999996</v>
      </c>
      <c r="N13" s="9">
        <v>9</v>
      </c>
      <c r="O13" s="10">
        <v>70.12</v>
      </c>
      <c r="P13" s="10">
        <v>54.84</v>
      </c>
      <c r="Q13" s="10">
        <v>1.46</v>
      </c>
      <c r="R13" s="10">
        <v>5.84</v>
      </c>
      <c r="S13" s="10">
        <v>0.155</v>
      </c>
      <c r="T13" s="11">
        <f t="shared" si="0"/>
        <v>63.89</v>
      </c>
    </row>
    <row r="14" spans="1:20" ht="20" customHeight="1" x14ac:dyDescent="0.2">
      <c r="A14" s="4" t="s">
        <v>249</v>
      </c>
      <c r="B14" s="5">
        <v>18</v>
      </c>
      <c r="C14" s="5">
        <v>2328</v>
      </c>
      <c r="D14" s="6">
        <v>0.39</v>
      </c>
      <c r="E14" s="6">
        <v>90</v>
      </c>
      <c r="F14" s="6">
        <v>20.37</v>
      </c>
      <c r="G14" s="6">
        <v>69.64</v>
      </c>
      <c r="H14" s="6">
        <v>57.71</v>
      </c>
      <c r="I14" s="6">
        <v>9.94</v>
      </c>
      <c r="J14" s="5">
        <v>30</v>
      </c>
      <c r="K14" s="6">
        <v>1.1599999999999999</v>
      </c>
      <c r="L14" s="5">
        <v>107</v>
      </c>
      <c r="M14" s="6">
        <v>4.1399999999999997</v>
      </c>
      <c r="N14" s="5">
        <v>7</v>
      </c>
      <c r="O14" s="6">
        <v>71.959999999999994</v>
      </c>
      <c r="P14" s="6">
        <v>29.4</v>
      </c>
      <c r="Q14" s="6">
        <v>1.1399999999999999</v>
      </c>
      <c r="R14" s="6">
        <v>-0.6</v>
      </c>
      <c r="S14" s="6">
        <v>-2.3E-2</v>
      </c>
      <c r="T14" s="7">
        <f t="shared" si="0"/>
        <v>59.75</v>
      </c>
    </row>
    <row r="15" spans="1:20" ht="20" customHeight="1" x14ac:dyDescent="0.2">
      <c r="A15" s="8" t="s">
        <v>250</v>
      </c>
      <c r="B15" s="9">
        <v>20</v>
      </c>
      <c r="C15" s="9">
        <v>1454</v>
      </c>
      <c r="D15" s="10">
        <v>0.19</v>
      </c>
      <c r="E15" s="10">
        <v>66.67</v>
      </c>
      <c r="F15" s="10">
        <v>24.26</v>
      </c>
      <c r="G15" s="10">
        <v>84.95</v>
      </c>
      <c r="H15" s="10">
        <v>39.56</v>
      </c>
      <c r="I15" s="10">
        <v>3.9</v>
      </c>
      <c r="J15" s="9">
        <v>23</v>
      </c>
      <c r="K15" s="10">
        <v>1.42</v>
      </c>
      <c r="L15" s="9">
        <v>56</v>
      </c>
      <c r="M15" s="10">
        <v>3.47</v>
      </c>
      <c r="N15" s="9">
        <v>4</v>
      </c>
      <c r="O15" s="10">
        <v>58.93</v>
      </c>
      <c r="P15" s="10">
        <v>17.11</v>
      </c>
      <c r="Q15" s="10">
        <v>1.06</v>
      </c>
      <c r="R15" s="10">
        <v>-5.89</v>
      </c>
      <c r="S15" s="10">
        <v>-0.36499999999999999</v>
      </c>
      <c r="T15" s="11">
        <f t="shared" si="0"/>
        <v>37.97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Center Backs</vt:lpstr>
      <vt:lpstr>Left Backs</vt:lpstr>
      <vt:lpstr>Right Backs</vt:lpstr>
      <vt:lpstr>Central Midfielders</vt:lpstr>
      <vt:lpstr>Wingers</vt:lpstr>
      <vt:lpstr>Center Forwards</vt:lpstr>
      <vt:lpstr>Goalkeepers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Christopher Collopy</cp:lastModifiedBy>
  <dcterms:created xsi:type="dcterms:W3CDTF">2026-11-01T09:27:04Z</dcterms:created>
  <dcterms:modified xsi:type="dcterms:W3CDTF">2026-11-01T12:38:46Z</dcterms:modified>
</cp:coreProperties>
</file>