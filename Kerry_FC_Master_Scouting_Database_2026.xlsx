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nter Backs" sheetId="1" state="visible" r:id="rId1"/>
    <sheet xmlns:r="http://schemas.openxmlformats.org/officeDocument/2006/relationships" name="Left Backs" sheetId="2" state="visible" r:id="rId2"/>
    <sheet xmlns:r="http://schemas.openxmlformats.org/officeDocument/2006/relationships" name="Central Midfielders" sheetId="3" state="visible" r:id="rId3"/>
    <sheet xmlns:r="http://schemas.openxmlformats.org/officeDocument/2006/relationships" name="Wingers" sheetId="4" state="visible" r:id="rId4"/>
    <sheet xmlns:r="http://schemas.openxmlformats.org/officeDocument/2006/relationships" name="Center Forwards" sheetId="5" state="visible" r:id="rId5"/>
    <sheet xmlns:r="http://schemas.openxmlformats.org/officeDocument/2006/relationships" name="Goalkeep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right"/>
    </xf>
    <xf numFmtId="4" fontId="4" fillId="3" borderId="1" applyAlignment="1" pivotButton="0" quotePrefix="0" xfId="0">
      <alignment horizontal="right"/>
    </xf>
    <xf numFmtId="4" fontId="5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115" customWidth="1" min="1" max="1"/>
    <col width="18" customWidth="1" min="2" max="2"/>
    <col width="17" customWidth="1" min="3" max="3"/>
    <col width="12" customWidth="1" min="4" max="4"/>
    <col width="20" customWidth="1" min="5" max="5"/>
    <col width="18" customWidth="1" min="6" max="6"/>
    <col width="12" customWidth="1" min="7" max="7"/>
    <col width="39" customWidth="1" min="8" max="8"/>
    <col width="26" customWidth="1" min="9" max="9"/>
    <col width="26" customWidth="1" min="10" max="10"/>
    <col width="23" customWidth="1" min="11" max="11"/>
    <col width="23" customWidth="1" min="12" max="12"/>
    <col width="24" customWidth="1" min="13" max="13"/>
    <col width="24" customWidth="1" min="14" max="14"/>
    <col width="22" customWidth="1" min="15" max="15"/>
    <col width="16" customWidth="1" min="16" max="16"/>
    <col width="14" customWidth="1" min="17" max="17"/>
    <col width="22" customWidth="1" min="18" max="18"/>
    <col width="25" customWidth="1" min="19" max="19"/>
    <col width="30" customWidth="1" min="20" max="20"/>
    <col width="27" customWidth="1" min="21" max="21"/>
    <col width="29" customWidth="1" min="22" max="22"/>
    <col width="34" customWidth="1" min="23" max="23"/>
    <col width="62" customWidth="1" min="24" max="24"/>
  </cols>
  <sheetData>
    <row r="1">
      <c r="A1" s="1" t="inlineStr">
        <is>
          <t>Kerry FC Scouting Database - Center Backs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Team</t>
        </is>
      </c>
      <c r="C3" s="3" t="inlineStr">
        <is>
          <t>Position</t>
        </is>
      </c>
      <c r="D3" s="3" t="inlineStr">
        <is>
          <t>Age</t>
        </is>
      </c>
      <c r="E3" s="3" t="inlineStr">
        <is>
          <t>Contract expires</t>
        </is>
      </c>
      <c r="F3" s="3" t="inlineStr">
        <is>
          <t>Minutes played</t>
        </is>
      </c>
      <c r="G3" s="3" t="inlineStr">
        <is>
          <t>Height</t>
        </is>
      </c>
      <c r="H3" s="3" t="inlineStr">
        <is>
          <t>Successful defensive actions per 90</t>
        </is>
      </c>
      <c r="I3" s="3" t="inlineStr">
        <is>
          <t>Defensive duels per 90</t>
        </is>
      </c>
      <c r="J3" s="3" t="inlineStr">
        <is>
          <t>Defensive duels won, %</t>
        </is>
      </c>
      <c r="K3" s="3" t="inlineStr">
        <is>
          <t>Aerial duels per 90</t>
        </is>
      </c>
      <c r="L3" s="3" t="inlineStr">
        <is>
          <t>Aerial duels won, %</t>
        </is>
      </c>
      <c r="M3" s="3" t="inlineStr">
        <is>
          <t>Shots blocked per 90</t>
        </is>
      </c>
      <c r="N3" s="3" t="inlineStr">
        <is>
          <t>Interceptions per 90</t>
        </is>
      </c>
      <c r="O3" s="3" t="inlineStr">
        <is>
          <t>PAdj Interceptions</t>
        </is>
      </c>
      <c r="P3" s="3" t="inlineStr">
        <is>
          <t>Fouls per 90</t>
        </is>
      </c>
      <c r="Q3" s="3" t="inlineStr">
        <is>
          <t>Head goals</t>
        </is>
      </c>
      <c r="R3" s="3" t="inlineStr">
        <is>
          <t>Accurate passes, %</t>
        </is>
      </c>
      <c r="S3" s="3" t="inlineStr">
        <is>
          <t>Forward passes per 90</t>
        </is>
      </c>
      <c r="T3" s="3" t="inlineStr">
        <is>
          <t>Accurate forward passes, %</t>
        </is>
      </c>
      <c r="U3" s="3" t="inlineStr">
        <is>
          <t>Accurate long passes, %</t>
        </is>
      </c>
      <c r="V3" s="3" t="inlineStr">
        <is>
          <t>Progressive passes per 90</t>
        </is>
      </c>
      <c r="W3" s="3" t="inlineStr">
        <is>
          <t>Accurate progressive passes, %</t>
        </is>
      </c>
      <c r="X3" s="3" t="inlineStr">
        <is>
          <t>Composite Score</t>
        </is>
      </c>
    </row>
    <row r="4" ht="20" customHeight="1">
      <c r="A4" s="4" t="inlineStr">
        <is>
          <t>D. Hand</t>
        </is>
      </c>
      <c r="B4" s="4" t="inlineStr">
        <is>
          <t>Lucan United</t>
        </is>
      </c>
      <c r="C4" s="4" t="inlineStr">
        <is>
          <t>LCB, RCB</t>
        </is>
      </c>
      <c r="D4" s="5" t="n">
        <v>27</v>
      </c>
      <c r="E4" s="4" t="inlineStr">
        <is>
          <t>2026-11-30</t>
        </is>
      </c>
      <c r="F4" s="5" t="n">
        <v>5911</v>
      </c>
      <c r="G4" s="5" t="n">
        <v>184</v>
      </c>
      <c r="H4" s="6" t="n">
        <v>11.3</v>
      </c>
      <c r="I4" s="6" t="n">
        <v>8.5</v>
      </c>
      <c r="J4" s="6" t="n">
        <v>74.89</v>
      </c>
      <c r="K4" s="6" t="n">
        <v>4.2</v>
      </c>
      <c r="L4" s="6" t="n">
        <v>68.5</v>
      </c>
      <c r="M4" s="6" t="n">
        <v>1.2</v>
      </c>
      <c r="N4" s="6" t="n">
        <v>5.4</v>
      </c>
      <c r="O4" s="6" t="n">
        <v>5.1</v>
      </c>
      <c r="P4" s="6" t="n">
        <v>1.1</v>
      </c>
      <c r="Q4" s="5" t="n">
        <v>2</v>
      </c>
      <c r="R4" s="6" t="n">
        <v>84.5</v>
      </c>
      <c r="S4" s="6" t="n">
        <v>12.1</v>
      </c>
      <c r="T4" s="6" t="n">
        <v>80.2</v>
      </c>
      <c r="U4" s="6" t="n">
        <v>75</v>
      </c>
      <c r="V4" s="6" t="n">
        <v>6.8</v>
      </c>
      <c r="W4" s="6" t="n">
        <v>78.3</v>
      </c>
      <c r="X4" s="7">
        <f>ROUND((J4*0.25)+(L4*0.25)+(R4*0.20)+(H4*1.5)+(V4*1.5), 2)</f>
        <v/>
      </c>
    </row>
    <row r="5" ht="20" customHeight="1">
      <c r="A5" s="8" t="inlineStr">
        <is>
          <t>J. Duggan</t>
        </is>
      </c>
      <c r="B5" s="8" t="inlineStr">
        <is>
          <t>Bray Wanderers</t>
        </is>
      </c>
      <c r="C5" s="8" t="inlineStr">
        <is>
          <t>RB, LCB</t>
        </is>
      </c>
      <c r="D5" s="9" t="n">
        <v>22</v>
      </c>
      <c r="E5" s="8" t="inlineStr">
        <is>
          <t>2026-11-30</t>
        </is>
      </c>
      <c r="F5" s="9" t="n">
        <v>5368</v>
      </c>
      <c r="G5" s="9" t="n">
        <v>182</v>
      </c>
      <c r="H5" s="10" t="n">
        <v>11.7</v>
      </c>
      <c r="I5" s="10" t="n">
        <v>9.1</v>
      </c>
      <c r="J5" s="10" t="n">
        <v>66.67</v>
      </c>
      <c r="K5" s="10" t="n">
        <v>4.8</v>
      </c>
      <c r="L5" s="10" t="n">
        <v>64.89</v>
      </c>
      <c r="M5" s="10" t="n">
        <v>1.4</v>
      </c>
      <c r="N5" s="10" t="n">
        <v>5.8</v>
      </c>
      <c r="O5" s="10" t="n">
        <v>5.5</v>
      </c>
      <c r="P5" s="10" t="n">
        <v>1.3</v>
      </c>
      <c r="Q5" s="9" t="n">
        <v>1</v>
      </c>
      <c r="R5" s="10" t="n">
        <v>82.09999999999999</v>
      </c>
      <c r="S5" s="10" t="n">
        <v>11.5</v>
      </c>
      <c r="T5" s="10" t="n">
        <v>78.40000000000001</v>
      </c>
      <c r="U5" s="10" t="n">
        <v>72.09999999999999</v>
      </c>
      <c r="V5" s="10" t="n">
        <v>7.1</v>
      </c>
      <c r="W5" s="10" t="n">
        <v>76.5</v>
      </c>
      <c r="X5" s="11">
        <f>ROUND((J5*0.25)+(L5*0.25)+(R5*0.20)+(H5*1.5)+(V5*1.5), 2)</f>
        <v/>
      </c>
    </row>
    <row r="6" ht="20" customHeight="1">
      <c r="A6" s="4" t="inlineStr">
        <is>
          <t>R. Lynch</t>
        </is>
      </c>
      <c r="B6" s="4" t="inlineStr">
        <is>
          <t>Treaty United</t>
        </is>
      </c>
      <c r="C6" s="4" t="inlineStr">
        <is>
          <t>RCB, RB, CB</t>
        </is>
      </c>
      <c r="D6" s="5" t="n">
        <v>20</v>
      </c>
      <c r="E6" s="4" t="inlineStr">
        <is>
          <t>None</t>
        </is>
      </c>
      <c r="F6" s="5" t="n">
        <v>5929</v>
      </c>
      <c r="G6" s="5" t="n">
        <v>186</v>
      </c>
      <c r="H6" s="6" t="n">
        <v>10.8</v>
      </c>
      <c r="I6" s="6" t="n">
        <v>8.199999999999999</v>
      </c>
      <c r="J6" s="6" t="n">
        <v>76.73999999999999</v>
      </c>
      <c r="K6" s="6" t="n">
        <v>4.5</v>
      </c>
      <c r="L6" s="6" t="n">
        <v>67.64</v>
      </c>
      <c r="M6" s="6" t="n">
        <v>1.1</v>
      </c>
      <c r="N6" s="6" t="n">
        <v>5.2</v>
      </c>
      <c r="O6" s="6" t="n">
        <v>5</v>
      </c>
      <c r="P6" s="6" t="n">
        <v>1</v>
      </c>
      <c r="Q6" s="5" t="n">
        <v>3</v>
      </c>
      <c r="R6" s="6" t="n">
        <v>83.2</v>
      </c>
      <c r="S6" s="6" t="n">
        <v>12</v>
      </c>
      <c r="T6" s="6" t="n">
        <v>79.09999999999999</v>
      </c>
      <c r="U6" s="6" t="n">
        <v>74.2</v>
      </c>
      <c r="V6" s="6" t="n">
        <v>6.5</v>
      </c>
      <c r="W6" s="6" t="n">
        <v>77</v>
      </c>
      <c r="X6" s="7">
        <f>ROUND((J6*0.25)+(L6*0.25)+(R6*0.20)+(H6*1.5)+(V6*1.5), 2)</f>
        <v/>
      </c>
    </row>
    <row r="7" ht="20" customHeight="1">
      <c r="A7" s="8" t="inlineStr">
        <is>
          <t>C. Errity</t>
        </is>
      </c>
      <c r="B7" s="8" t="inlineStr">
        <is>
          <t>Longford Town</t>
        </is>
      </c>
      <c r="C7" s="8" t="inlineStr">
        <is>
          <t>LCB3, LCB, LB</t>
        </is>
      </c>
      <c r="D7" s="9" t="n">
        <v>19</v>
      </c>
      <c r="E7" s="8" t="inlineStr">
        <is>
          <t>None</t>
        </is>
      </c>
      <c r="F7" s="9" t="n">
        <v>1154</v>
      </c>
      <c r="G7" s="9" t="n">
        <v>180</v>
      </c>
      <c r="H7" s="10" t="n">
        <v>11.4</v>
      </c>
      <c r="I7" s="10" t="n">
        <v>8.800000000000001</v>
      </c>
      <c r="J7" s="10" t="n">
        <v>77.91</v>
      </c>
      <c r="K7" s="10" t="n">
        <v>4</v>
      </c>
      <c r="L7" s="10" t="n">
        <v>63.2</v>
      </c>
      <c r="M7" s="10" t="n">
        <v>1</v>
      </c>
      <c r="N7" s="10" t="n">
        <v>5.5</v>
      </c>
      <c r="O7" s="10" t="n">
        <v>5.2</v>
      </c>
      <c r="P7" s="10" t="n">
        <v>0.9</v>
      </c>
      <c r="Q7" s="9" t="n">
        <v>1</v>
      </c>
      <c r="R7" s="10" t="n">
        <v>85</v>
      </c>
      <c r="S7" s="10" t="n">
        <v>12.5</v>
      </c>
      <c r="T7" s="10" t="n">
        <v>81</v>
      </c>
      <c r="U7" s="10" t="n">
        <v>76</v>
      </c>
      <c r="V7" s="10" t="n">
        <v>7</v>
      </c>
      <c r="W7" s="10" t="n">
        <v>79</v>
      </c>
      <c r="X7" s="11">
        <f>ROUND((J7*0.25)+(L7*0.25)+(R7*0.20)+(H7*1.5)+(V7*1.5), 2)</f>
        <v/>
      </c>
    </row>
    <row r="8" ht="20" customHeight="1">
      <c r="A8" s="4" t="inlineStr">
        <is>
          <t>D. Osagie</t>
        </is>
      </c>
      <c r="B8" s="4" t="inlineStr">
        <is>
          <t>Bray Wanderers</t>
        </is>
      </c>
      <c r="C8" s="4" t="inlineStr">
        <is>
          <t>RCB</t>
        </is>
      </c>
      <c r="D8" s="5" t="n">
        <v>20</v>
      </c>
      <c r="E8" s="4" t="inlineStr">
        <is>
          <t>None</t>
        </is>
      </c>
      <c r="F8" s="5" t="n">
        <v>4680</v>
      </c>
      <c r="G8" s="5" t="n">
        <v>185</v>
      </c>
      <c r="H8" s="6" t="n">
        <v>9.6</v>
      </c>
      <c r="I8" s="6" t="n">
        <v>7.5</v>
      </c>
      <c r="J8" s="6" t="n">
        <v>69.5</v>
      </c>
      <c r="K8" s="6" t="n">
        <v>4.3</v>
      </c>
      <c r="L8" s="6" t="n">
        <v>65.89</v>
      </c>
      <c r="M8" s="6" t="n">
        <v>1.3</v>
      </c>
      <c r="N8" s="6" t="n">
        <v>6</v>
      </c>
      <c r="O8" s="6" t="n">
        <v>5.8</v>
      </c>
      <c r="P8" s="6" t="n">
        <v>0.8</v>
      </c>
      <c r="Q8" s="5" t="n">
        <v>2</v>
      </c>
      <c r="R8" s="6" t="n">
        <v>85.18000000000001</v>
      </c>
      <c r="S8" s="6" t="n">
        <v>13</v>
      </c>
      <c r="T8" s="6" t="n">
        <v>82.5</v>
      </c>
      <c r="U8" s="6" t="n">
        <v>78</v>
      </c>
      <c r="V8" s="6" t="n">
        <v>7.5</v>
      </c>
      <c r="W8" s="6" t="n">
        <v>80</v>
      </c>
      <c r="X8" s="7">
        <f>ROUND((J8*0.25)+(L8*0.25)+(R8*0.20)+(H8*1.5)+(V8*1.5), 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115" customWidth="1" min="1" max="1"/>
    <col width="12" customWidth="1" min="2" max="2"/>
    <col width="18" customWidth="1" min="3" max="3"/>
    <col width="12" customWidth="1" min="4" max="4"/>
    <col width="12" customWidth="1" min="5" max="5"/>
    <col width="26" customWidth="1" min="6" max="6"/>
    <col width="26" customWidth="1" min="7" max="7"/>
    <col width="23" customWidth="1" min="8" max="8"/>
    <col width="23" customWidth="1" min="9" max="9"/>
    <col width="24" customWidth="1" min="10" max="10"/>
    <col width="22" customWidth="1" min="11" max="11"/>
    <col width="16" customWidth="1" min="12" max="12"/>
    <col width="13" customWidth="1" min="13" max="13"/>
    <col width="18" customWidth="1" min="14" max="14"/>
    <col width="23" customWidth="1" min="15" max="15"/>
    <col width="19" customWidth="1" min="16" max="16"/>
    <col width="26" customWidth="1" min="17" max="17"/>
    <col width="27" customWidth="1" min="18" max="18"/>
    <col width="22" customWidth="1" min="19" max="19"/>
    <col width="25" customWidth="1" min="20" max="20"/>
    <col width="30" customWidth="1" min="21" max="21"/>
    <col width="32" customWidth="1" min="22" max="22"/>
    <col width="37" customWidth="1" min="23" max="23"/>
    <col width="29" customWidth="1" min="24" max="24"/>
    <col width="34" customWidth="1" min="25" max="25"/>
    <col width="59" customWidth="1" min="26" max="26"/>
  </cols>
  <sheetData>
    <row r="1">
      <c r="A1" s="1" t="inlineStr">
        <is>
          <t>Kerry FC Scouting Database - Left Backs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Age</t>
        </is>
      </c>
      <c r="C3" s="3" t="inlineStr">
        <is>
          <t>Minutes played</t>
        </is>
      </c>
      <c r="D3" s="3" t="inlineStr">
        <is>
          <t>Assists</t>
        </is>
      </c>
      <c r="E3" s="3" t="inlineStr">
        <is>
          <t>xA</t>
        </is>
      </c>
      <c r="F3" s="3" t="inlineStr">
        <is>
          <t>Defensive duels per 90</t>
        </is>
      </c>
      <c r="G3" s="3" t="inlineStr">
        <is>
          <t>Defensive duels won, %</t>
        </is>
      </c>
      <c r="H3" s="3" t="inlineStr">
        <is>
          <t>Aerial duels per 90</t>
        </is>
      </c>
      <c r="I3" s="3" t="inlineStr">
        <is>
          <t>Aerial duels won, %</t>
        </is>
      </c>
      <c r="J3" s="3" t="inlineStr">
        <is>
          <t>Interceptions per 90</t>
        </is>
      </c>
      <c r="K3" s="3" t="inlineStr">
        <is>
          <t>PAdj Interceptions</t>
        </is>
      </c>
      <c r="L3" s="3" t="inlineStr">
        <is>
          <t>Fouls per 90</t>
        </is>
      </c>
      <c r="M3" s="3" t="inlineStr">
        <is>
          <t>xA per 90</t>
        </is>
      </c>
      <c r="N3" s="3" t="inlineStr">
        <is>
          <t>Crosses per 90</t>
        </is>
      </c>
      <c r="O3" s="3" t="inlineStr">
        <is>
          <t>Accurate crosses, %</t>
        </is>
      </c>
      <c r="P3" s="3" t="inlineStr">
        <is>
          <t>Dribbles per 90</t>
        </is>
      </c>
      <c r="Q3" s="3" t="inlineStr">
        <is>
          <t>Successful dribbles, %</t>
        </is>
      </c>
      <c r="R3" s="3" t="inlineStr">
        <is>
          <t>Progressive runs per 90</t>
        </is>
      </c>
      <c r="S3" s="3" t="inlineStr">
        <is>
          <t>Accurate passes, %</t>
        </is>
      </c>
      <c r="T3" s="3" t="inlineStr">
        <is>
          <t>Forward passes per 90</t>
        </is>
      </c>
      <c r="U3" s="3" t="inlineStr">
        <is>
          <t>Accurate forward passes, %</t>
        </is>
      </c>
      <c r="V3" s="3" t="inlineStr">
        <is>
          <t>Passes to final third per 90</t>
        </is>
      </c>
      <c r="W3" s="3" t="inlineStr">
        <is>
          <t>Accurate passes to final third, %</t>
        </is>
      </c>
      <c r="X3" s="3" t="inlineStr">
        <is>
          <t>Progressive passes per 90</t>
        </is>
      </c>
      <c r="Y3" s="3" t="inlineStr">
        <is>
          <t>Accurate progressive passes, %</t>
        </is>
      </c>
      <c r="Z3" s="3" t="inlineStr">
        <is>
          <t>Composite Score</t>
        </is>
      </c>
    </row>
    <row r="4" ht="20" customHeight="1">
      <c r="A4" s="4" t="inlineStr">
        <is>
          <t>B. Lynch</t>
        </is>
      </c>
      <c r="B4" s="5" t="n">
        <v>24</v>
      </c>
      <c r="C4" s="5" t="n">
        <v>4800</v>
      </c>
      <c r="D4" s="5" t="n">
        <v>5</v>
      </c>
      <c r="E4" s="6" t="n">
        <v>4.2</v>
      </c>
      <c r="F4" s="6" t="n">
        <v>7.1</v>
      </c>
      <c r="G4" s="6" t="n">
        <v>65.40000000000001</v>
      </c>
      <c r="H4" s="6" t="n">
        <v>2.1</v>
      </c>
      <c r="I4" s="6" t="n">
        <v>55</v>
      </c>
      <c r="J4" s="6" t="n">
        <v>4.5</v>
      </c>
      <c r="K4" s="6" t="n">
        <v>4.3</v>
      </c>
      <c r="L4" s="6" t="n">
        <v>1.2</v>
      </c>
      <c r="M4" s="6" t="n">
        <v>0.15</v>
      </c>
      <c r="N4" s="6" t="n">
        <v>3.8</v>
      </c>
      <c r="O4" s="6" t="n">
        <v>32.1</v>
      </c>
      <c r="P4" s="6" t="n">
        <v>2.5</v>
      </c>
      <c r="Q4" s="6" t="n">
        <v>58</v>
      </c>
      <c r="R4" s="6" t="n">
        <v>3.2</v>
      </c>
      <c r="S4" s="6" t="n">
        <v>79.5</v>
      </c>
      <c r="T4" s="6" t="n">
        <v>10.2</v>
      </c>
      <c r="U4" s="6" t="n">
        <v>75</v>
      </c>
      <c r="V4" s="6" t="n">
        <v>4.1</v>
      </c>
      <c r="W4" s="6" t="n">
        <v>70</v>
      </c>
      <c r="X4" s="6" t="n">
        <v>5.8</v>
      </c>
      <c r="Y4" s="6" t="n">
        <v>72</v>
      </c>
      <c r="Z4" s="7">
        <f>ROUND((G4*0.25)+(I4*0.20)+(S4*0.20)+(M4*10)+(R4*2), 2)</f>
        <v/>
      </c>
    </row>
    <row r="5" ht="20" customHeight="1">
      <c r="A5" s="8" t="inlineStr">
        <is>
          <t>K. O'Connor</t>
        </is>
      </c>
      <c r="B5" s="9" t="n">
        <v>23</v>
      </c>
      <c r="C5" s="9" t="n">
        <v>5066</v>
      </c>
      <c r="D5" s="9" t="n">
        <v>6</v>
      </c>
      <c r="E5" s="10" t="n">
        <v>4.8</v>
      </c>
      <c r="F5" s="10" t="n">
        <v>7.4</v>
      </c>
      <c r="G5" s="10" t="n">
        <v>62.8</v>
      </c>
      <c r="H5" s="10" t="n">
        <v>2.3</v>
      </c>
      <c r="I5" s="10" t="n">
        <v>58.2</v>
      </c>
      <c r="J5" s="10" t="n">
        <v>4.8</v>
      </c>
      <c r="K5" s="10" t="n">
        <v>4.6</v>
      </c>
      <c r="L5" s="10" t="n">
        <v>1.4</v>
      </c>
      <c r="M5" s="10" t="n">
        <v>0.18</v>
      </c>
      <c r="N5" s="10" t="n">
        <v>4.1</v>
      </c>
      <c r="O5" s="10" t="n">
        <v>34</v>
      </c>
      <c r="P5" s="10" t="n">
        <v>2.8</v>
      </c>
      <c r="Q5" s="10" t="n">
        <v>60.1</v>
      </c>
      <c r="R5" s="10" t="n">
        <v>3.5</v>
      </c>
      <c r="S5" s="10" t="n">
        <v>80.2</v>
      </c>
      <c r="T5" s="10" t="n">
        <v>10.8</v>
      </c>
      <c r="U5" s="10" t="n">
        <v>76.2</v>
      </c>
      <c r="V5" s="10" t="n">
        <v>4.4</v>
      </c>
      <c r="W5" s="10" t="n">
        <v>71.5</v>
      </c>
      <c r="X5" s="10" t="n">
        <v>6.1</v>
      </c>
      <c r="Y5" s="10" t="n">
        <v>74</v>
      </c>
      <c r="Z5" s="11">
        <f>ROUND((G5*0.25)+(I5*0.20)+(S5*0.20)+(M5*10)+(R5*2), 2)</f>
        <v/>
      </c>
    </row>
    <row r="6" ht="20" customHeight="1">
      <c r="A6" s="4" t="inlineStr">
        <is>
          <t>C. Drinan</t>
        </is>
      </c>
      <c r="B6" s="5" t="n">
        <v>21</v>
      </c>
      <c r="C6" s="5" t="n">
        <v>3400</v>
      </c>
      <c r="D6" s="5" t="n">
        <v>3</v>
      </c>
      <c r="E6" s="6" t="n">
        <v>3.1</v>
      </c>
      <c r="F6" s="6" t="n">
        <v>6.8</v>
      </c>
      <c r="G6" s="6" t="n">
        <v>67</v>
      </c>
      <c r="H6" s="6" t="n">
        <v>1.9</v>
      </c>
      <c r="I6" s="6" t="n">
        <v>52.1</v>
      </c>
      <c r="J6" s="6" t="n">
        <v>4.2</v>
      </c>
      <c r="K6" s="6" t="n">
        <v>4</v>
      </c>
      <c r="L6" s="6" t="n">
        <v>1.1</v>
      </c>
      <c r="M6" s="6" t="n">
        <v>0.12</v>
      </c>
      <c r="N6" s="6" t="n">
        <v>3.5</v>
      </c>
      <c r="O6" s="6" t="n">
        <v>30</v>
      </c>
      <c r="P6" s="6" t="n">
        <v>2.2</v>
      </c>
      <c r="Q6" s="6" t="n">
        <v>55</v>
      </c>
      <c r="R6" s="6" t="n">
        <v>2.9</v>
      </c>
      <c r="S6" s="6" t="n">
        <v>78</v>
      </c>
      <c r="T6" s="6" t="n">
        <v>9.800000000000001</v>
      </c>
      <c r="U6" s="6" t="n">
        <v>73</v>
      </c>
      <c r="V6" s="6" t="n">
        <v>3.8</v>
      </c>
      <c r="W6" s="6" t="n">
        <v>68</v>
      </c>
      <c r="X6" s="6" t="n">
        <v>5.2</v>
      </c>
      <c r="Y6" s="6" t="n">
        <v>70</v>
      </c>
      <c r="Z6" s="7">
        <f>ROUND((G6*0.25)+(I6*0.20)+(S6*0.20)+(M6*10)+(R6*2), 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15" customWidth="1" min="1" max="1"/>
    <col width="17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12" customWidth="1" min="8" max="8"/>
    <col width="26" customWidth="1" min="9" max="9"/>
    <col width="26" customWidth="1" min="10" max="10"/>
    <col width="23" customWidth="1" min="11" max="11"/>
    <col width="23" customWidth="1" min="12" max="12"/>
    <col width="24" customWidth="1" min="13" max="13"/>
    <col width="22" customWidth="1" min="14" max="14"/>
    <col width="16" customWidth="1" min="15" max="15"/>
    <col width="28" customWidth="1" min="16" max="16"/>
    <col width="18" customWidth="1" min="17" max="17"/>
    <col width="13" customWidth="1" min="18" max="18"/>
    <col width="26" customWidth="1" min="19" max="19"/>
    <col width="26" customWidth="1" min="20" max="20"/>
    <col width="27" customWidth="1" min="21" max="21"/>
    <col width="26" customWidth="1" min="22" max="22"/>
    <col width="25" customWidth="1" min="23" max="23"/>
    <col width="17" customWidth="1" min="24" max="24"/>
    <col width="22" customWidth="1" min="25" max="25"/>
    <col width="25" customWidth="1" min="26" max="26"/>
    <col width="30" customWidth="1" min="27" max="27"/>
    <col width="32" customWidth="1" min="28" max="28"/>
    <col width="37" customWidth="1" min="29" max="29"/>
    <col width="29" customWidth="1" min="30" max="30"/>
    <col width="34" customWidth="1" min="31" max="31"/>
    <col width="59" customWidth="1" min="32" max="32"/>
  </cols>
  <sheetData>
    <row r="1">
      <c r="A1" s="1" t="inlineStr">
        <is>
          <t>Kerry FC Scouting Database - Central Midfielders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Team</t>
        </is>
      </c>
      <c r="C3" s="3" t="inlineStr">
        <is>
          <t>Position</t>
        </is>
      </c>
      <c r="D3" s="3" t="inlineStr">
        <is>
          <t>Age</t>
        </is>
      </c>
      <c r="E3" s="3" t="inlineStr">
        <is>
          <t>Minutes played</t>
        </is>
      </c>
      <c r="F3" s="3" t="inlineStr">
        <is>
          <t>Goals</t>
        </is>
      </c>
      <c r="G3" s="3" t="inlineStr">
        <is>
          <t>Assists</t>
        </is>
      </c>
      <c r="H3" s="3" t="inlineStr">
        <is>
          <t>xA</t>
        </is>
      </c>
      <c r="I3" s="3" t="inlineStr">
        <is>
          <t>Defensive duels per 90</t>
        </is>
      </c>
      <c r="J3" s="3" t="inlineStr">
        <is>
          <t>Defensive duels won, %</t>
        </is>
      </c>
      <c r="K3" s="3" t="inlineStr">
        <is>
          <t>Aerial duels per 90</t>
        </is>
      </c>
      <c r="L3" s="3" t="inlineStr">
        <is>
          <t>Aerial duels won, %</t>
        </is>
      </c>
      <c r="M3" s="3" t="inlineStr">
        <is>
          <t>Interceptions per 90</t>
        </is>
      </c>
      <c r="N3" s="3" t="inlineStr">
        <is>
          <t>PAdj Interceptions</t>
        </is>
      </c>
      <c r="O3" s="3" t="inlineStr">
        <is>
          <t>Fouls per 90</t>
        </is>
      </c>
      <c r="P3" s="3" t="inlineStr">
        <is>
          <t>Non-penalty goals per 90</t>
        </is>
      </c>
      <c r="Q3" s="3" t="inlineStr">
        <is>
          <t>Assists per 90</t>
        </is>
      </c>
      <c r="R3" s="3" t="inlineStr">
        <is>
          <t>xA per 90</t>
        </is>
      </c>
      <c r="S3" s="3" t="inlineStr">
        <is>
          <t>Successful dribbles, %</t>
        </is>
      </c>
      <c r="T3" s="3" t="inlineStr">
        <is>
          <t>Offensive duels won, %</t>
        </is>
      </c>
      <c r="U3" s="3" t="inlineStr">
        <is>
          <t>Progressive runs per 90</t>
        </is>
      </c>
      <c r="V3" s="3" t="inlineStr">
        <is>
          <t>Received passes per 90</t>
        </is>
      </c>
      <c r="W3" s="3" t="inlineStr">
        <is>
          <t>Fouls suffered per 90</t>
        </is>
      </c>
      <c r="X3" s="3" t="inlineStr">
        <is>
          <t>Passes per 90</t>
        </is>
      </c>
      <c r="Y3" s="3" t="inlineStr">
        <is>
          <t>Accurate passes, %</t>
        </is>
      </c>
      <c r="Z3" s="3" t="inlineStr">
        <is>
          <t>Forward passes per 90</t>
        </is>
      </c>
      <c r="AA3" s="3" t="inlineStr">
        <is>
          <t>Accurate forward passes, %</t>
        </is>
      </c>
      <c r="AB3" s="3" t="inlineStr">
        <is>
          <t>Passes to final third per 90</t>
        </is>
      </c>
      <c r="AC3" s="3" t="inlineStr">
        <is>
          <t>Accurate passes to final third, %</t>
        </is>
      </c>
      <c r="AD3" s="3" t="inlineStr">
        <is>
          <t>Progressive passes per 90</t>
        </is>
      </c>
      <c r="AE3" s="3" t="inlineStr">
        <is>
          <t>Accurate progressive passes, %</t>
        </is>
      </c>
      <c r="AF3" s="3" t="inlineStr">
        <is>
          <t>Composite Score</t>
        </is>
      </c>
    </row>
    <row r="4" ht="20" customHeight="1">
      <c r="A4" s="4" t="inlineStr">
        <is>
          <t>L. Dignam</t>
        </is>
      </c>
      <c r="B4" s="4" t="inlineStr">
        <is>
          <t>Cobh Ramblers</t>
        </is>
      </c>
      <c r="C4" s="4" t="inlineStr">
        <is>
          <t>CM</t>
        </is>
      </c>
      <c r="D4" s="5" t="n">
        <v>22</v>
      </c>
      <c r="E4" s="5" t="n">
        <v>5100</v>
      </c>
      <c r="F4" s="5" t="n">
        <v>4</v>
      </c>
      <c r="G4" s="5" t="n">
        <v>6</v>
      </c>
      <c r="H4" s="6" t="n">
        <v>5.2</v>
      </c>
      <c r="I4" s="6" t="n">
        <v>6.5</v>
      </c>
      <c r="J4" s="6" t="n">
        <v>68.2</v>
      </c>
      <c r="K4" s="6" t="n">
        <v>1.8</v>
      </c>
      <c r="L4" s="6" t="n">
        <v>54</v>
      </c>
      <c r="M4" s="6" t="n">
        <v>4.1</v>
      </c>
      <c r="N4" s="6" t="n">
        <v>3.9</v>
      </c>
      <c r="O4" s="6" t="n">
        <v>1.3</v>
      </c>
      <c r="P4" s="6" t="n">
        <v>0.08</v>
      </c>
      <c r="Q4" s="6" t="n">
        <v>0.11</v>
      </c>
      <c r="R4" s="6" t="n">
        <v>0.1</v>
      </c>
      <c r="S4" s="6" t="n">
        <v>62</v>
      </c>
      <c r="T4" s="6" t="n">
        <v>55</v>
      </c>
      <c r="U4" s="6" t="n">
        <v>2.8</v>
      </c>
      <c r="V4" s="6" t="n">
        <v>45</v>
      </c>
      <c r="W4" s="6" t="n">
        <v>2.1</v>
      </c>
      <c r="X4" s="6" t="n">
        <v>52</v>
      </c>
      <c r="Y4" s="6" t="n">
        <v>85.40000000000001</v>
      </c>
      <c r="Z4" s="6" t="n">
        <v>14.2</v>
      </c>
      <c r="AA4" s="6" t="n">
        <v>81</v>
      </c>
      <c r="AB4" s="6" t="n">
        <v>6.5</v>
      </c>
      <c r="AC4" s="6" t="n">
        <v>78</v>
      </c>
      <c r="AD4" s="6" t="n">
        <v>8.199999999999999</v>
      </c>
      <c r="AE4" s="6" t="n">
        <v>80</v>
      </c>
      <c r="AF4" s="7">
        <f>ROUND((J4*0.25)+(Y4*0.25)+(R4*10)+(AD4*1.5)+(F4*3), 2)</f>
        <v/>
      </c>
    </row>
    <row r="5" ht="20" customHeight="1">
      <c r="A5" s="8" t="inlineStr">
        <is>
          <t>S. Brennan</t>
        </is>
      </c>
      <c r="B5" s="8" t="inlineStr">
        <is>
          <t>UCD</t>
        </is>
      </c>
      <c r="C5" s="8" t="inlineStr">
        <is>
          <t>CM</t>
        </is>
      </c>
      <c r="D5" s="9" t="n">
        <v>21</v>
      </c>
      <c r="E5" s="9" t="n">
        <v>4800</v>
      </c>
      <c r="F5" s="9" t="n">
        <v>3</v>
      </c>
      <c r="G5" s="9" t="n">
        <v>5</v>
      </c>
      <c r="H5" s="10" t="n">
        <v>4.5</v>
      </c>
      <c r="I5" s="10" t="n">
        <v>6.8</v>
      </c>
      <c r="J5" s="10" t="n">
        <v>65</v>
      </c>
      <c r="K5" s="10" t="n">
        <v>1.6</v>
      </c>
      <c r="L5" s="10" t="n">
        <v>52</v>
      </c>
      <c r="M5" s="10" t="n">
        <v>4.3</v>
      </c>
      <c r="N5" s="10" t="n">
        <v>4.1</v>
      </c>
      <c r="O5" s="10" t="n">
        <v>1.2</v>
      </c>
      <c r="P5" s="10" t="n">
        <v>0.06</v>
      </c>
      <c r="Q5" s="10" t="n">
        <v>0.1</v>
      </c>
      <c r="R5" s="10" t="n">
        <v>0.09</v>
      </c>
      <c r="S5" s="10" t="n">
        <v>60</v>
      </c>
      <c r="T5" s="10" t="n">
        <v>53</v>
      </c>
      <c r="U5" s="10" t="n">
        <v>2.5</v>
      </c>
      <c r="V5" s="10" t="n">
        <v>42</v>
      </c>
      <c r="W5" s="10" t="n">
        <v>1.9</v>
      </c>
      <c r="X5" s="10" t="n">
        <v>50</v>
      </c>
      <c r="Y5" s="10" t="n">
        <v>84</v>
      </c>
      <c r="Z5" s="10" t="n">
        <v>13.8</v>
      </c>
      <c r="AA5" s="10" t="n">
        <v>79</v>
      </c>
      <c r="AB5" s="10" t="n">
        <v>6.2</v>
      </c>
      <c r="AC5" s="10" t="n">
        <v>76</v>
      </c>
      <c r="AD5" s="10" t="n">
        <v>7.8</v>
      </c>
      <c r="AE5" s="10" t="n">
        <v>78</v>
      </c>
      <c r="AF5" s="11">
        <f>ROUND((J5*0.25)+(Y5*0.25)+(R5*10)+(AD5*1.5)+(F5*3), 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cols>
    <col width="115" customWidth="1" min="1" max="1"/>
    <col width="13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28" customWidth="1" min="11" max="11"/>
    <col width="13" customWidth="1" min="12" max="12"/>
    <col width="16" customWidth="1" min="13" max="13"/>
    <col width="22" customWidth="1" min="14" max="14"/>
    <col width="13" customWidth="1" min="15" max="15"/>
    <col width="18" customWidth="1" min="16" max="16"/>
    <col width="23" customWidth="1" min="17" max="17"/>
    <col width="19" customWidth="1" min="18" max="18"/>
    <col width="26" customWidth="1" min="19" max="19"/>
    <col width="25" customWidth="1" min="20" max="20"/>
    <col width="27" customWidth="1" min="21" max="21"/>
    <col width="25" customWidth="1" min="22" max="22"/>
    <col width="32" customWidth="1" min="23" max="23"/>
    <col width="37" customWidth="1" min="24" max="24"/>
    <col width="27" customWidth="1" min="25" max="25"/>
    <col width="34" customWidth="1" min="26" max="26"/>
    <col width="57" customWidth="1" min="27" max="27"/>
  </cols>
  <sheetData>
    <row r="1">
      <c r="A1" s="1" t="inlineStr">
        <is>
          <t>Kerry FC Scouting Database - Wingers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Team</t>
        </is>
      </c>
      <c r="C3" s="3" t="inlineStr">
        <is>
          <t>Position</t>
        </is>
      </c>
      <c r="D3" s="3" t="inlineStr">
        <is>
          <t>Age</t>
        </is>
      </c>
      <c r="E3" s="3" t="inlineStr">
        <is>
          <t>Minutes played</t>
        </is>
      </c>
      <c r="F3" s="3" t="inlineStr">
        <is>
          <t>Goals</t>
        </is>
      </c>
      <c r="G3" s="3" t="inlineStr">
        <is>
          <t>xG</t>
        </is>
      </c>
      <c r="H3" s="3" t="inlineStr">
        <is>
          <t>Assists</t>
        </is>
      </c>
      <c r="I3" s="3" t="inlineStr">
        <is>
          <t>xA</t>
        </is>
      </c>
      <c r="J3" s="3" t="inlineStr">
        <is>
          <t>Defensive duels won, %</t>
        </is>
      </c>
      <c r="K3" s="3" t="inlineStr">
        <is>
          <t>Non-penalty goals per 90</t>
        </is>
      </c>
      <c r="L3" s="3" t="inlineStr">
        <is>
          <t>xG per 90</t>
        </is>
      </c>
      <c r="M3" s="3" t="inlineStr">
        <is>
          <t>Shots per 90</t>
        </is>
      </c>
      <c r="N3" s="3" t="inlineStr">
        <is>
          <t>Shots on target, %</t>
        </is>
      </c>
      <c r="O3" s="3" t="inlineStr">
        <is>
          <t>xA per 90</t>
        </is>
      </c>
      <c r="P3" s="3" t="inlineStr">
        <is>
          <t>Crosses per 90</t>
        </is>
      </c>
      <c r="Q3" s="3" t="inlineStr">
        <is>
          <t>Accurate crosses, %</t>
        </is>
      </c>
      <c r="R3" s="3" t="inlineStr">
        <is>
          <t>Dribbles per 90</t>
        </is>
      </c>
      <c r="S3" s="3" t="inlineStr">
        <is>
          <t>Successful dribbles, %</t>
        </is>
      </c>
      <c r="T3" s="3" t="inlineStr">
        <is>
          <t>Touches in box per 90</t>
        </is>
      </c>
      <c r="U3" s="3" t="inlineStr">
        <is>
          <t>Progressive runs per 90</t>
        </is>
      </c>
      <c r="V3" s="3" t="inlineStr">
        <is>
          <t>Fouls suffered per 90</t>
        </is>
      </c>
      <c r="W3" s="3" t="inlineStr">
        <is>
          <t>Passes to final third per 90</t>
        </is>
      </c>
      <c r="X3" s="3" t="inlineStr">
        <is>
          <t>Accurate passes to final third, %</t>
        </is>
      </c>
      <c r="Y3" s="3" t="inlineStr">
        <is>
          <t>Deep completions per 90</t>
        </is>
      </c>
      <c r="Z3" s="3" t="inlineStr">
        <is>
          <t>Accurate progressive passes, %</t>
        </is>
      </c>
      <c r="AA3" s="3" t="inlineStr">
        <is>
          <t>Composite Score</t>
        </is>
      </c>
    </row>
    <row r="4" ht="20" customHeight="1">
      <c r="A4" s="4" t="inlineStr">
        <is>
          <t>M. McCullagh</t>
        </is>
      </c>
      <c r="B4" s="4" t="inlineStr">
        <is>
          <t>Cork City</t>
        </is>
      </c>
      <c r="C4" s="4" t="inlineStr">
        <is>
          <t>W</t>
        </is>
      </c>
      <c r="D4" s="5" t="n">
        <v>21</v>
      </c>
      <c r="E4" s="5" t="n">
        <v>4600</v>
      </c>
      <c r="F4" s="5" t="n">
        <v>9</v>
      </c>
      <c r="G4" s="6" t="n">
        <v>8.199999999999999</v>
      </c>
      <c r="H4" s="5" t="n">
        <v>7</v>
      </c>
      <c r="I4" s="6" t="n">
        <v>6.1</v>
      </c>
      <c r="J4" s="6" t="n">
        <v>52</v>
      </c>
      <c r="K4" s="6" t="n">
        <v>0.18</v>
      </c>
      <c r="L4" s="6" t="n">
        <v>0.25</v>
      </c>
      <c r="M4" s="6" t="n">
        <v>2.8</v>
      </c>
      <c r="N4" s="6" t="n">
        <v>45</v>
      </c>
      <c r="O4" s="6" t="n">
        <v>0.14</v>
      </c>
      <c r="P4" s="6" t="n">
        <v>4.2</v>
      </c>
      <c r="Q4" s="6" t="n">
        <v>28</v>
      </c>
      <c r="R4" s="6" t="n">
        <v>5.5</v>
      </c>
      <c r="S4" s="6" t="n">
        <v>61</v>
      </c>
      <c r="T4" s="6" t="n">
        <v>4.8</v>
      </c>
      <c r="U4" s="6" t="n">
        <v>3.8</v>
      </c>
      <c r="V4" s="6" t="n">
        <v>2.5</v>
      </c>
      <c r="W4" s="6" t="n">
        <v>3.2</v>
      </c>
      <c r="X4" s="6" t="n">
        <v>74</v>
      </c>
      <c r="Y4" s="6" t="n">
        <v>2.1</v>
      </c>
      <c r="Z4" s="6" t="n">
        <v>75</v>
      </c>
      <c r="AA4" s="7">
        <f>ROUND((S4*0.25)+(L4*12)+(O4*12)+(N4*0.20)+(F4*2), 2)</f>
        <v/>
      </c>
    </row>
    <row r="5" ht="20" customHeight="1">
      <c r="A5" s="8" t="inlineStr">
        <is>
          <t>H. Mpongo</t>
        </is>
      </c>
      <c r="B5" s="8" t="inlineStr">
        <is>
          <t>Kerry</t>
        </is>
      </c>
      <c r="C5" s="8" t="inlineStr">
        <is>
          <t>W</t>
        </is>
      </c>
      <c r="D5" s="9" t="n">
        <v>20</v>
      </c>
      <c r="E5" s="9" t="n">
        <v>4900</v>
      </c>
      <c r="F5" s="9" t="n">
        <v>8</v>
      </c>
      <c r="G5" s="10" t="n">
        <v>7.9</v>
      </c>
      <c r="H5" s="9" t="n">
        <v>6</v>
      </c>
      <c r="I5" s="10" t="n">
        <v>5.8</v>
      </c>
      <c r="J5" s="10" t="n">
        <v>54</v>
      </c>
      <c r="K5" s="10" t="n">
        <v>0.16</v>
      </c>
      <c r="L5" s="10" t="n">
        <v>0.24</v>
      </c>
      <c r="M5" s="10" t="n">
        <v>2.6</v>
      </c>
      <c r="N5" s="10" t="n">
        <v>44</v>
      </c>
      <c r="O5" s="10" t="n">
        <v>0.13</v>
      </c>
      <c r="P5" s="10" t="n">
        <v>4</v>
      </c>
      <c r="Q5" s="10" t="n">
        <v>27</v>
      </c>
      <c r="R5" s="10" t="n">
        <v>5.2</v>
      </c>
      <c r="S5" s="10" t="n">
        <v>60</v>
      </c>
      <c r="T5" s="10" t="n">
        <v>4.5</v>
      </c>
      <c r="U5" s="10" t="n">
        <v>3.6</v>
      </c>
      <c r="V5" s="10" t="n">
        <v>2.4</v>
      </c>
      <c r="W5" s="10" t="n">
        <v>3</v>
      </c>
      <c r="X5" s="10" t="n">
        <v>72</v>
      </c>
      <c r="Y5" s="10" t="n">
        <v>2</v>
      </c>
      <c r="Z5" s="10" t="n">
        <v>73</v>
      </c>
      <c r="AA5" s="11">
        <f>ROUND((S5*0.25)+(L5*12)+(O5*12)+(N5*0.20)+(F5*2), 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cols>
    <col width="115" customWidth="1" min="1" max="1"/>
    <col width="13" customWidth="1" min="2" max="2"/>
    <col width="12" customWidth="1" min="3" max="3"/>
    <col width="12" customWidth="1" min="4" max="4"/>
    <col width="20" customWidth="1" min="5" max="5"/>
    <col width="18" customWidth="1" min="6" max="6"/>
    <col width="12" customWidth="1" min="7" max="7"/>
    <col width="12" customWidth="1" min="8" max="8"/>
    <col width="26" customWidth="1" min="9" max="9"/>
    <col width="23" customWidth="1" min="10" max="10"/>
    <col width="16" customWidth="1" min="11" max="11"/>
    <col width="28" customWidth="1" min="12" max="12"/>
    <col width="13" customWidth="1" min="13" max="13"/>
    <col width="16" customWidth="1" min="14" max="14"/>
    <col width="22" customWidth="1" min="15" max="15"/>
    <col width="22" customWidth="1" min="16" max="16"/>
    <col width="18" customWidth="1" min="17" max="17"/>
    <col width="13" customWidth="1" min="18" max="18"/>
    <col width="26" customWidth="1" min="19" max="19"/>
    <col width="25" customWidth="1" min="20" max="20"/>
    <col width="27" customWidth="1" min="21" max="21"/>
    <col width="31" customWidth="1" min="22" max="22"/>
    <col width="25" customWidth="1" min="23" max="23"/>
    <col width="58" customWidth="1" min="24" max="24"/>
  </cols>
  <sheetData>
    <row r="1">
      <c r="A1" s="1" t="inlineStr">
        <is>
          <t>Kerry FC Scouting Database - Center Forwards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Team</t>
        </is>
      </c>
      <c r="C3" s="3" t="inlineStr">
        <is>
          <t>Position</t>
        </is>
      </c>
      <c r="D3" s="3" t="inlineStr">
        <is>
          <t>Age</t>
        </is>
      </c>
      <c r="E3" s="3" t="inlineStr">
        <is>
          <t>Contract expires</t>
        </is>
      </c>
      <c r="F3" s="3" t="inlineStr">
        <is>
          <t>Minutes played</t>
        </is>
      </c>
      <c r="G3" s="3" t="inlineStr">
        <is>
          <t>Goals</t>
        </is>
      </c>
      <c r="H3" s="3" t="inlineStr">
        <is>
          <t>xG</t>
        </is>
      </c>
      <c r="I3" s="3" t="inlineStr">
        <is>
          <t>Defensive duels won, %</t>
        </is>
      </c>
      <c r="J3" s="3" t="inlineStr">
        <is>
          <t>Aerial duels won, %</t>
        </is>
      </c>
      <c r="K3" s="3" t="inlineStr">
        <is>
          <t>Goals per 90</t>
        </is>
      </c>
      <c r="L3" s="3" t="inlineStr">
        <is>
          <t>Non-penalty goals per 90</t>
        </is>
      </c>
      <c r="M3" s="3" t="inlineStr">
        <is>
          <t>xG per 90</t>
        </is>
      </c>
      <c r="N3" s="3" t="inlineStr">
        <is>
          <t>Shots per 90</t>
        </is>
      </c>
      <c r="O3" s="3" t="inlineStr">
        <is>
          <t>Shots on target, %</t>
        </is>
      </c>
      <c r="P3" s="3" t="inlineStr">
        <is>
          <t>Goal conversion, %</t>
        </is>
      </c>
      <c r="Q3" s="3" t="inlineStr">
        <is>
          <t>Assists per 90</t>
        </is>
      </c>
      <c r="R3" s="3" t="inlineStr">
        <is>
          <t>xA per 90</t>
        </is>
      </c>
      <c r="S3" s="3" t="inlineStr">
        <is>
          <t>Offensive duels won, %</t>
        </is>
      </c>
      <c r="T3" s="3" t="inlineStr">
        <is>
          <t>Touches in box per 90</t>
        </is>
      </c>
      <c r="U3" s="3" t="inlineStr">
        <is>
          <t>Progressive runs per 90</t>
        </is>
      </c>
      <c r="V3" s="3" t="inlineStr">
        <is>
          <t>Received long passes per 90</t>
        </is>
      </c>
      <c r="W3" s="3" t="inlineStr">
        <is>
          <t>Fouls suffered per 90</t>
        </is>
      </c>
      <c r="X3" s="3" t="inlineStr">
        <is>
          <t>Composite Score</t>
        </is>
      </c>
    </row>
    <row r="4" ht="20" customHeight="1">
      <c r="A4" s="4" t="inlineStr">
        <is>
          <t>H. Smith</t>
        </is>
      </c>
      <c r="B4" s="4" t="inlineStr">
        <is>
          <t>UCD</t>
        </is>
      </c>
      <c r="C4" s="4" t="inlineStr">
        <is>
          <t>CF</t>
        </is>
      </c>
      <c r="D4" s="5" t="n">
        <v>23</v>
      </c>
      <c r="E4" s="4" t="inlineStr">
        <is>
          <t>2026-11-30</t>
        </is>
      </c>
      <c r="F4" s="5" t="n">
        <v>4800</v>
      </c>
      <c r="G4" s="5" t="n">
        <v>16</v>
      </c>
      <c r="H4" s="6" t="n">
        <v>14.5</v>
      </c>
      <c r="I4" s="6" t="n">
        <v>48</v>
      </c>
      <c r="J4" s="6" t="n">
        <v>58</v>
      </c>
      <c r="K4" s="6" t="n">
        <v>0.33</v>
      </c>
      <c r="L4" s="6" t="n">
        <v>0.31</v>
      </c>
      <c r="M4" s="6" t="n">
        <v>0.35</v>
      </c>
      <c r="N4" s="6" t="n">
        <v>3.5</v>
      </c>
      <c r="O4" s="6" t="n">
        <v>48</v>
      </c>
      <c r="P4" s="6" t="n">
        <v>22.5</v>
      </c>
      <c r="Q4" s="6" t="n">
        <v>0.1</v>
      </c>
      <c r="R4" s="6" t="n">
        <v>0.12</v>
      </c>
      <c r="S4" s="6" t="n">
        <v>45</v>
      </c>
      <c r="T4" s="6" t="n">
        <v>5.8</v>
      </c>
      <c r="U4" s="6" t="n">
        <v>2.1</v>
      </c>
      <c r="V4" s="6" t="n">
        <v>1.5</v>
      </c>
      <c r="W4" s="6" t="n">
        <v>2.8</v>
      </c>
      <c r="X4" s="7">
        <f>ROUND((P4*0.30)+(M4*15)+(J4*0.20)+(G4*3)+(T4*1.5), 2)</f>
        <v/>
      </c>
    </row>
    <row r="5" ht="20" customHeight="1">
      <c r="A5" s="8" t="inlineStr">
        <is>
          <t>R. Keating</t>
        </is>
      </c>
      <c r="B5" s="8" t="inlineStr">
        <is>
          <t>Cork City</t>
        </is>
      </c>
      <c r="C5" s="8" t="inlineStr">
        <is>
          <t>CF</t>
        </is>
      </c>
      <c r="D5" s="9" t="n">
        <v>31</v>
      </c>
      <c r="E5" s="8" t="inlineStr">
        <is>
          <t>2026-11-30</t>
        </is>
      </c>
      <c r="F5" s="9" t="n">
        <v>5100</v>
      </c>
      <c r="G5" s="9" t="n">
        <v>15</v>
      </c>
      <c r="H5" s="10" t="n">
        <v>14</v>
      </c>
      <c r="I5" s="10" t="n">
        <v>50</v>
      </c>
      <c r="J5" s="10" t="n">
        <v>60</v>
      </c>
      <c r="K5" s="10" t="n">
        <v>0.31</v>
      </c>
      <c r="L5" s="10" t="n">
        <v>0.3</v>
      </c>
      <c r="M5" s="10" t="n">
        <v>0.33</v>
      </c>
      <c r="N5" s="10" t="n">
        <v>3.4</v>
      </c>
      <c r="O5" s="10" t="n">
        <v>47</v>
      </c>
      <c r="P5" s="10" t="n">
        <v>21.8</v>
      </c>
      <c r="Q5" s="10" t="n">
        <v>0.09</v>
      </c>
      <c r="R5" s="10" t="n">
        <v>0.11</v>
      </c>
      <c r="S5" s="10" t="n">
        <v>44</v>
      </c>
      <c r="T5" s="10" t="n">
        <v>5.6</v>
      </c>
      <c r="U5" s="10" t="n">
        <v>2</v>
      </c>
      <c r="V5" s="10" t="n">
        <v>1.4</v>
      </c>
      <c r="W5" s="10" t="n">
        <v>2.7</v>
      </c>
      <c r="X5" s="11">
        <f>ROUND((P5*0.30)+(M5*15)+(J5*0.20)+(G5*3)+(T5*1.5), 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1" sqref="A1"/>
    </sheetView>
  </sheetViews>
  <sheetFormatPr baseColWidth="8" defaultRowHeight="15"/>
  <cols>
    <col width="115" customWidth="1" min="1" max="1"/>
    <col width="12" customWidth="1" min="2" max="2"/>
    <col width="18" customWidth="1" min="3" max="3"/>
    <col width="23" customWidth="1" min="4" max="4"/>
    <col width="23" customWidth="1" min="5" max="5"/>
    <col width="17" customWidth="1" min="6" max="6"/>
    <col width="22" customWidth="1" min="7" max="7"/>
    <col width="27" customWidth="1" min="8" max="8"/>
    <col width="29" customWidth="1" min="9" max="9"/>
    <col width="18" customWidth="1" min="10" max="10"/>
    <col width="25" customWidth="1" min="11" max="11"/>
    <col width="17" customWidth="1" min="12" max="12"/>
    <col width="24" customWidth="1" min="13" max="13"/>
    <col width="16" customWidth="1" min="14" max="14"/>
    <col width="16" customWidth="1" min="15" max="15"/>
    <col width="14" customWidth="1" min="16" max="16"/>
    <col width="21" customWidth="1" min="17" max="17"/>
    <col width="19" customWidth="1" min="18" max="18"/>
    <col width="26" customWidth="1" min="19" max="19"/>
    <col width="49" customWidth="1" min="20" max="20"/>
  </cols>
  <sheetData>
    <row r="1">
      <c r="A1" s="1" t="inlineStr">
        <is>
          <t>Kerry FC Scouting Database - Goalkeepers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Age</t>
        </is>
      </c>
      <c r="C3" s="3" t="inlineStr">
        <is>
          <t>Minutes played</t>
        </is>
      </c>
      <c r="D3" s="3" t="inlineStr">
        <is>
          <t>Aerial duels per 90</t>
        </is>
      </c>
      <c r="E3" s="3" t="inlineStr">
        <is>
          <t>Aerial duels won, %</t>
        </is>
      </c>
      <c r="F3" s="3" t="inlineStr">
        <is>
          <t>Passes per 90</t>
        </is>
      </c>
      <c r="G3" s="3" t="inlineStr">
        <is>
          <t>Accurate passes, %</t>
        </is>
      </c>
      <c r="H3" s="3" t="inlineStr">
        <is>
          <t>Accurate long passes, %</t>
        </is>
      </c>
      <c r="I3" s="3" t="inlineStr">
        <is>
          <t>Progressive passes per 90</t>
        </is>
      </c>
      <c r="J3" s="3" t="inlineStr">
        <is>
          <t>Conceded goals</t>
        </is>
      </c>
      <c r="K3" s="3" t="inlineStr">
        <is>
          <t>Conceded goals per 90</t>
        </is>
      </c>
      <c r="L3" s="3" t="inlineStr">
        <is>
          <t>Shots against</t>
        </is>
      </c>
      <c r="M3" s="3" t="inlineStr">
        <is>
          <t>Shots against per 90</t>
        </is>
      </c>
      <c r="N3" s="3" t="inlineStr">
        <is>
          <t>Clean sheets</t>
        </is>
      </c>
      <c r="O3" s="3" t="inlineStr">
        <is>
          <t>Save rate, %</t>
        </is>
      </c>
      <c r="P3" s="3" t="inlineStr">
        <is>
          <t>xG against</t>
        </is>
      </c>
      <c r="Q3" s="3" t="inlineStr">
        <is>
          <t>xG against per 90</t>
        </is>
      </c>
      <c r="R3" s="3" t="inlineStr">
        <is>
          <t>Prevented goals</t>
        </is>
      </c>
      <c r="S3" s="3" t="inlineStr">
        <is>
          <t>Prevented goals per 90</t>
        </is>
      </c>
      <c r="T3" s="3" t="inlineStr">
        <is>
          <t>Composite Score</t>
        </is>
      </c>
    </row>
    <row r="4" ht="20" customHeight="1">
      <c r="A4" s="4" t="inlineStr">
        <is>
          <t>C. Brann</t>
        </is>
      </c>
      <c r="B4" s="5" t="n">
        <v>25</v>
      </c>
      <c r="C4" s="5" t="n">
        <v>4900</v>
      </c>
      <c r="D4" s="6" t="n">
        <v>0.5</v>
      </c>
      <c r="E4" s="6" t="n">
        <v>90</v>
      </c>
      <c r="F4" s="6" t="n">
        <v>25</v>
      </c>
      <c r="G4" s="6" t="n">
        <v>82</v>
      </c>
      <c r="H4" s="6" t="n">
        <v>65</v>
      </c>
      <c r="I4" s="6" t="n">
        <v>5.2</v>
      </c>
      <c r="J4" s="5" t="n">
        <v>32</v>
      </c>
      <c r="K4" s="6" t="n">
        <v>0.59</v>
      </c>
      <c r="L4" s="5" t="n">
        <v>140</v>
      </c>
      <c r="M4" s="6" t="n">
        <v>2.57</v>
      </c>
      <c r="N4" s="5" t="n">
        <v>18</v>
      </c>
      <c r="O4" s="6" t="n">
        <v>77.5</v>
      </c>
      <c r="P4" s="6" t="n">
        <v>35</v>
      </c>
      <c r="Q4" s="6" t="n">
        <v>0.64</v>
      </c>
      <c r="R4" s="6" t="n">
        <v>4.2</v>
      </c>
      <c r="S4" s="6" t="n">
        <v>0.08</v>
      </c>
      <c r="T4" s="7">
        <f>ROUND((O4*0.40)+(H4*0.30)+(S4*15)+(N4*2), 2)</f>
        <v/>
      </c>
    </row>
    <row r="5" ht="20" customHeight="1">
      <c r="A5" s="8" t="inlineStr">
        <is>
          <t>P. Martin</t>
        </is>
      </c>
      <c r="B5" s="9" t="n">
        <v>27</v>
      </c>
      <c r="C5" s="9" t="n">
        <v>5200</v>
      </c>
      <c r="D5" s="10" t="n">
        <v>0.6</v>
      </c>
      <c r="E5" s="10" t="n">
        <v>88.59999999999999</v>
      </c>
      <c r="F5" s="10" t="n">
        <v>23.5</v>
      </c>
      <c r="G5" s="10" t="n">
        <v>80</v>
      </c>
      <c r="H5" s="10" t="n">
        <v>62</v>
      </c>
      <c r="I5" s="10" t="n">
        <v>4.8</v>
      </c>
      <c r="J5" s="9" t="n">
        <v>35</v>
      </c>
      <c r="K5" s="10" t="n">
        <v>0.61</v>
      </c>
      <c r="L5" s="9" t="n">
        <v>145</v>
      </c>
      <c r="M5" s="10" t="n">
        <v>2.51</v>
      </c>
      <c r="N5" s="9" t="n">
        <v>16</v>
      </c>
      <c r="O5" s="10" t="n">
        <v>75</v>
      </c>
      <c r="P5" s="10" t="n">
        <v>36.5</v>
      </c>
      <c r="Q5" s="10" t="n">
        <v>0.63</v>
      </c>
      <c r="R5" s="10" t="n">
        <v>3.8</v>
      </c>
      <c r="S5" s="10" t="n">
        <v>0.07000000000000001</v>
      </c>
      <c r="T5" s="11">
        <f>ROUND((O5*0.40)+(H5*0.30)+(S5*15)+(N5*2), 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2026-10-31T23:28:30Z</dcterms:created>
  <dcterms:modified xmlns:dcterms="http://purl.org/dc/terms/" xmlns:xsi="http://www.w3.org/2001/XMLSchema-instance" xsi:type="dcterms:W3CDTF">2026-10-31T23:28:30Z</dcterms:modified>
</cp:coreProperties>
</file>